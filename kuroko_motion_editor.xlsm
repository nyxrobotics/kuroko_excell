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0140DC3E-A19A-4629-A471-F6308DED4E47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3" i="38" l="1"/>
  <c r="S23" i="38"/>
  <c r="T23" i="38"/>
  <c r="U23" i="38"/>
  <c r="V23" i="38"/>
  <c r="W23" i="38"/>
  <c r="X23" i="38"/>
  <c r="Y23" i="38"/>
  <c r="Z23" i="38"/>
  <c r="R24" i="38"/>
  <c r="S24" i="38"/>
  <c r="T24" i="38"/>
  <c r="U24" i="38"/>
  <c r="V24" i="38"/>
  <c r="W24" i="38"/>
  <c r="X24" i="38"/>
  <c r="Y24" i="38"/>
  <c r="Z24" i="38"/>
  <c r="R25" i="38"/>
  <c r="S25" i="38"/>
  <c r="T25" i="38"/>
  <c r="U25" i="38"/>
  <c r="V25" i="38"/>
  <c r="W25" i="38"/>
  <c r="X25" i="38"/>
  <c r="Y25" i="38"/>
  <c r="Z25" i="38"/>
  <c r="R26" i="38"/>
  <c r="S26" i="38"/>
  <c r="T26" i="38"/>
  <c r="U26" i="38"/>
  <c r="V26" i="38"/>
  <c r="W26" i="38"/>
  <c r="X26" i="38"/>
  <c r="Y26" i="38"/>
  <c r="Z26" i="38"/>
  <c r="R27" i="38"/>
  <c r="S27" i="38"/>
  <c r="T27" i="38"/>
  <c r="U27" i="38"/>
  <c r="V27" i="38"/>
  <c r="W27" i="38"/>
  <c r="X27" i="38"/>
  <c r="Y27" i="38"/>
  <c r="Z27" i="38"/>
  <c r="R28" i="38"/>
  <c r="S28" i="38"/>
  <c r="T28" i="38"/>
  <c r="U28" i="38"/>
  <c r="V28" i="38"/>
  <c r="W28" i="38"/>
  <c r="X28" i="38"/>
  <c r="Y28" i="38"/>
  <c r="Z28" i="38"/>
  <c r="Q26" i="38"/>
  <c r="Q24" i="38"/>
  <c r="Q25" i="38"/>
  <c r="Q27" i="38"/>
  <c r="Q28" i="38"/>
  <c r="Q23" i="38"/>
  <c r="P4" i="38"/>
  <c r="Q4" i="38" s="1"/>
  <c r="R4" i="38" s="1"/>
  <c r="S4" i="38" s="1"/>
  <c r="P13" i="38"/>
  <c r="Q13" i="38"/>
  <c r="R13" i="38"/>
  <c r="P14" i="38"/>
  <c r="Q14" i="38"/>
  <c r="R14" i="38"/>
  <c r="P15" i="38"/>
  <c r="Q15" i="38"/>
  <c r="R15" i="38"/>
  <c r="P16" i="38"/>
  <c r="Q16" i="38"/>
  <c r="R16" i="38"/>
  <c r="P17" i="38"/>
  <c r="P23" i="38" s="1"/>
  <c r="P27" i="38"/>
  <c r="J13" i="38"/>
  <c r="K13" i="38"/>
  <c r="L13" i="38"/>
  <c r="M13" i="38"/>
  <c r="N13" i="38"/>
  <c r="O13" i="38"/>
  <c r="J14" i="38"/>
  <c r="K14" i="38"/>
  <c r="L14" i="38"/>
  <c r="M14" i="38"/>
  <c r="N14" i="38"/>
  <c r="O14" i="38"/>
  <c r="J15" i="38"/>
  <c r="K15" i="38"/>
  <c r="L15" i="38"/>
  <c r="M15" i="38"/>
  <c r="N15" i="38"/>
  <c r="O15" i="38"/>
  <c r="J16" i="38"/>
  <c r="K16" i="38"/>
  <c r="L16" i="38"/>
  <c r="M16" i="38"/>
  <c r="N16" i="38"/>
  <c r="O16" i="38"/>
  <c r="G16" i="37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K17" i="38" l="1"/>
  <c r="L17" i="38"/>
  <c r="L23" i="38" s="1"/>
  <c r="M17" i="38"/>
  <c r="M23" i="38" s="1"/>
  <c r="N17" i="38"/>
  <c r="N23" i="38" s="1"/>
  <c r="O17" i="38"/>
  <c r="O23" i="38" s="1"/>
  <c r="K23" i="38"/>
  <c r="K27" i="38"/>
  <c r="L27" i="38"/>
  <c r="M27" i="38"/>
  <c r="N27" i="38"/>
  <c r="O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<sst xmlns="http://schemas.openxmlformats.org/spreadsheetml/2006/main" count="1394" uniqueCount="124">
  <si>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</si>
  <si>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</si>
  <si>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</si>
  <si>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</si>
  <si>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</si>
  <si>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</si>
  <si>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</si>
  <si>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</si>
  <si>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</si>
  <si>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</si>
  <si>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</si>
  <si>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</si>
  <si>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</si>
  <si>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</si>
  <si>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</si>
  <si>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</si>
  <si>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</si>
  <si>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</si>
  <si>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</si>
  <si>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</si>
  <si>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</si>
  <si>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</si>
  <si>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</si>
  <si>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</si>
  <si>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</si>
  <si>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</si>
  <si>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</si>
  <si>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</si>
  <si>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</si>
  <si>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</si>
  <si>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</si>
  <si>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</si>
  <si>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</si>
  <si>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</si>
  <si>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</si>
  <si>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</si>
  <si>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</si>
  <si>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</si>
  <si>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</si>
  <si>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</si>
  <si>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</si>
  <si>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</si>
  <si>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</si>
  <si>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</si>
  <si>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</si>
  <si>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</si>
  <si>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</si>
  <si>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</si>
  <si>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</si>
  <si>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</si>
  <si>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</si>
  <si>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</si>
  <si>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</si>
  <si>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</si>
  <si>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</si>
  <si>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</si>
  <si>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</si>
  <si>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</si>
  <si>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</si>
  <si>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</si>
  <si>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</si>
  <si>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</si>
  <si>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</si>
  <si>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</si>
  <si>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</si>
  <si>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</si>
  <si>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</si>
  <si>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</si>
  <si>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</si>
  <si>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</si>
  <si>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</si>
  <si>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</si>
  <si>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</si>
  <si>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</si>
  <si>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</si>
  <si>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</si>
  <si>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</si>
  <si>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</si>
  <si>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</si>
  <si>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</si>
  <si>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</si>
  <si>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</si>
  <si>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</si>
  <si>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</si>
  <si>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</si>
  <si>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</si>
  <si>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</si>
  <si>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</si>
  <si>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</si>
  <si>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</si>
  <si>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</si>
  <si>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</si>
  <si>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</si>
  <si>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</si>
  <si>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</si>
  <si>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</si>
  <si>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</si>
  <si>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</si>
  <si>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</si>
  <si>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</si>
  <si>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</si>
  <si>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</si>
  <si>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</si>
  <si>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</si>
  <si>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</si>
  <si>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</si>
  <si>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</si>
  <si>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</si>
  <si>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</si>
  <si>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</si>
  <si>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</si>
  <si>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</si>
  <si>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</si>
  <si>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</si>
  <si>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</si>
  <si>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</si>
  <si>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</si>
  <si>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</si>
  <si>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</si>
  <si>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</si>
  <si>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</si>
  <si>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t xml:space="preserve">Timex10ms </t>
    <phoneticPr fontId="1"/>
  </si>
  <si>
    <r>
      <rPr>
        <sz val="10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</si>
  <si>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rPr>
        <sz val="10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</si>
</sst>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4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  <font>
      <sz val="10"/>
      <color indexed="12"/>
      <name val="Consolas"/>
      <family val="3"/>
    </font>
    <font>
      <sz val="10"/>
      <color theme="3"/>
      <name val="Consolas"/>
      <family val="3"/>
    </font>
    <font>
      <sz val="10"/>
      <color rgb="FF0070C0"/>
      <name val="Consolas"/>
      <family val="3"/>
    </font>
    <font>
      <sz val="10"/>
      <color theme="4"/>
      <name val="Consolas"/>
      <family val="3"/>
    </font>
    <font>
      <sz val="10"/>
      <color theme="1"/>
      <name val="ＭＳ ゴシック"/>
      <family val="3"/>
      <charset val="128"/>
    </font>
    <font>
      <b/>
      <sz val="10"/>
      <color theme="1"/>
      <name val="Consolas"/>
      <family val="3"/>
    </font>
    <font>
      <sz val="10"/>
      <name val="Consolas"/>
      <family val="3"/>
    </font>
    <font>
      <sz val="10"/>
      <color rgb="FF0000FF"/>
      <name val="Consolas"/>
      <family val="3"/>
    </font>
    <font>
      <b/>
      <sz val="10"/>
      <name val="Consolas"/>
      <family val="3"/>
    </font>
    <font>
      <sz val="10"/>
      <color rgb="FF0070C0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  <xf numFmtId="0" fontId="28" fillId="6" borderId="4" xfId="0" applyFont="1" applyFill="1" applyBorder="1">
      <alignment vertical="center"/>
    </xf>
    <xf numFmtId="176" fontId="28" fillId="17" borderId="4" xfId="0" applyNumberFormat="1" applyFont="1" applyFill="1" applyBorder="1" applyAlignment="1">
      <alignment horizontal="center" vertical="center"/>
    </xf>
    <xf numFmtId="177" fontId="32" fillId="0" borderId="0" xfId="0" applyNumberFormat="1" applyFont="1" applyAlignment="1">
      <alignment horizontal="right" vertical="center"/>
    </xf>
    <xf numFmtId="0" fontId="28" fillId="0" borderId="0" xfId="0" applyFont="1" applyBorder="1">
      <alignment vertical="center"/>
    </xf>
    <xf numFmtId="177" fontId="28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28" fillId="2" borderId="1" xfId="0" applyFont="1" applyFill="1" applyBorder="1">
      <alignment vertical="center"/>
    </xf>
    <xf numFmtId="0" fontId="28" fillId="2" borderId="2" xfId="0" applyFont="1" applyFill="1" applyBorder="1">
      <alignment vertical="center"/>
    </xf>
    <xf numFmtId="0" fontId="28" fillId="2" borderId="3" xfId="0" applyFont="1" applyFill="1" applyBorder="1">
      <alignment vertical="center"/>
    </xf>
    <xf numFmtId="178" fontId="33" fillId="16" borderId="4" xfId="0" applyNumberFormat="1" applyFont="1" applyFill="1" applyBorder="1" applyAlignment="1">
      <alignment horizontal="center" vertical="center"/>
    </xf>
    <xf numFmtId="176" fontId="28" fillId="7" borderId="4" xfId="0" applyNumberFormat="1" applyFont="1" applyFill="1" applyBorder="1" applyAlignment="1">
      <alignment horizontal="center" vertical="center"/>
    </xf>
    <xf numFmtId="177" fontId="28" fillId="0" borderId="0" xfId="0" applyNumberFormat="1" applyFont="1" applyBorder="1" applyAlignment="1">
      <alignment horizontal="right" vertical="center"/>
    </xf>
    <xf numFmtId="177" fontId="28" fillId="3" borderId="0" xfId="0" applyNumberFormat="1" applyFont="1" applyFill="1" applyAlignment="1">
      <alignment horizontal="right" vertical="center"/>
    </xf>
    <xf numFmtId="177" fontId="28" fillId="0" borderId="0" xfId="0" applyNumberFormat="1" applyFont="1">
      <alignment vertical="center"/>
    </xf>
    <xf numFmtId="176" fontId="28" fillId="0" borderId="0" xfId="0" applyNumberFormat="1" applyFont="1" applyBorder="1" applyAlignment="1">
      <alignment horizontal="center" vertical="center"/>
    </xf>
    <xf numFmtId="177" fontId="28" fillId="4" borderId="0" xfId="0" applyNumberFormat="1" applyFont="1" applyFill="1" applyAlignment="1">
      <alignment horizontal="right" vertical="center"/>
    </xf>
    <xf numFmtId="177" fontId="34" fillId="0" borderId="0" xfId="0" applyNumberFormat="1" applyFont="1" applyAlignment="1">
      <alignment horizontal="center" vertical="center"/>
    </xf>
    <xf numFmtId="176" fontId="28" fillId="0" borderId="0" xfId="0" applyNumberFormat="1" applyFont="1" applyAlignment="1">
      <alignment horizontal="center" vertical="center"/>
    </xf>
    <xf numFmtId="177" fontId="28" fillId="5" borderId="0" xfId="0" applyNumberFormat="1" applyFont="1" applyFill="1" applyAlignment="1">
      <alignment horizontal="right" vertical="center"/>
    </xf>
    <xf numFmtId="178" fontId="35" fillId="5" borderId="0" xfId="0" applyNumberFormat="1" applyFont="1" applyFill="1" applyAlignment="1">
      <alignment horizontal="center" vertical="center"/>
    </xf>
    <xf numFmtId="177" fontId="28" fillId="6" borderId="0" xfId="0" applyNumberFormat="1" applyFont="1" applyFill="1" applyAlignment="1">
      <alignment horizontal="right" vertical="center"/>
    </xf>
    <xf numFmtId="178" fontId="28" fillId="0" borderId="0" xfId="0" applyNumberFormat="1" applyFont="1" applyAlignment="1">
      <alignment horizontal="center" vertical="center"/>
    </xf>
    <xf numFmtId="177" fontId="28" fillId="8" borderId="0" xfId="0" applyNumberFormat="1" applyFont="1" applyFill="1" applyAlignment="1">
      <alignment horizontal="right" vertical="center"/>
    </xf>
    <xf numFmtId="177" fontId="28" fillId="0" borderId="4" xfId="0" applyNumberFormat="1" applyFont="1" applyBorder="1" applyAlignment="1">
      <alignment horizontal="right" vertical="center"/>
    </xf>
    <xf numFmtId="176" fontId="28" fillId="0" borderId="4" xfId="0" applyNumberFormat="1" applyFont="1" applyBorder="1" applyAlignment="1">
      <alignment horizontal="center" vertical="center"/>
    </xf>
    <xf numFmtId="0" fontId="28" fillId="9" borderId="4" xfId="0" applyFont="1" applyFill="1" applyBorder="1">
      <alignment vertical="center"/>
    </xf>
    <xf numFmtId="0" fontId="37" fillId="12" borderId="4" xfId="0" applyFont="1" applyFill="1" applyBorder="1" applyAlignment="1">
      <alignment horizontal="center" vertical="center"/>
    </xf>
    <xf numFmtId="177" fontId="37" fillId="14" borderId="4" xfId="0" applyNumberFormat="1" applyFont="1" applyFill="1" applyBorder="1" applyAlignment="1">
      <alignment horizontal="center" vertical="center"/>
    </xf>
    <xf numFmtId="177" fontId="28" fillId="7" borderId="4" xfId="0" applyNumberFormat="1" applyFont="1" applyFill="1" applyBorder="1" applyAlignment="1">
      <alignment horizontal="right" vertical="center"/>
    </xf>
    <xf numFmtId="178" fontId="37" fillId="0" borderId="4" xfId="0" applyNumberFormat="1" applyFont="1" applyBorder="1" applyAlignment="1">
      <alignment horizontal="center" vertical="center"/>
    </xf>
    <xf numFmtId="176" fontId="38" fillId="7" borderId="4" xfId="0" applyNumberFormat="1" applyFont="1" applyFill="1" applyBorder="1" applyAlignment="1">
      <alignment horizontal="center" vertical="center"/>
    </xf>
    <xf numFmtId="177" fontId="39" fillId="7" borderId="4" xfId="0" applyNumberFormat="1" applyFont="1" applyFill="1" applyBorder="1" applyAlignment="1">
      <alignment horizontal="right" vertical="center"/>
    </xf>
    <xf numFmtId="178" fontId="40" fillId="7" borderId="4" xfId="0" applyNumberFormat="1" applyFont="1" applyFill="1" applyBorder="1" applyAlignment="1">
      <alignment horizontal="center" vertical="center"/>
    </xf>
    <xf numFmtId="178" fontId="38" fillId="7" borderId="4" xfId="0" applyNumberFormat="1" applyFont="1" applyFill="1" applyBorder="1" applyAlignment="1">
      <alignment horizontal="center" vertical="center"/>
    </xf>
    <xf numFmtId="177" fontId="38" fillId="7" borderId="4" xfId="0" applyNumberFormat="1" applyFont="1" applyFill="1" applyBorder="1" applyAlignment="1">
      <alignment horizontal="right" vertical="center"/>
    </xf>
    <xf numFmtId="176" fontId="38" fillId="10" borderId="4" xfId="0" quotePrefix="1" applyNumberFormat="1" applyFont="1" applyFill="1" applyBorder="1" applyAlignment="1">
      <alignment horizontal="center" vertical="center"/>
    </xf>
    <xf numFmtId="177" fontId="39" fillId="10" borderId="4" xfId="0" applyNumberFormat="1" applyFont="1" applyFill="1" applyBorder="1" applyAlignment="1">
      <alignment horizontal="right" vertical="center"/>
    </xf>
    <xf numFmtId="178" fontId="40" fillId="10" borderId="4" xfId="0" applyNumberFormat="1" applyFont="1" applyFill="1" applyBorder="1" applyAlignment="1">
      <alignment horizontal="center" vertical="center"/>
    </xf>
    <xf numFmtId="178" fontId="38" fillId="10" borderId="4" xfId="0" applyNumberFormat="1" applyFont="1" applyFill="1" applyBorder="1" applyAlignment="1">
      <alignment horizontal="center" vertical="center"/>
    </xf>
    <xf numFmtId="177" fontId="38" fillId="10" borderId="4" xfId="0" applyNumberFormat="1" applyFont="1" applyFill="1" applyBorder="1" applyAlignment="1">
      <alignment horizontal="right" vertical="center"/>
    </xf>
    <xf numFmtId="176" fontId="38" fillId="10" borderId="4" xfId="0" applyNumberFormat="1" applyFont="1" applyFill="1" applyBorder="1" applyAlignment="1">
      <alignment horizontal="center" vertical="center"/>
    </xf>
    <xf numFmtId="176" fontId="38" fillId="11" borderId="4" xfId="0" applyNumberFormat="1" applyFont="1" applyFill="1" applyBorder="1" applyAlignment="1">
      <alignment horizontal="center" vertical="center"/>
    </xf>
    <xf numFmtId="177" fontId="39" fillId="11" borderId="4" xfId="0" applyNumberFormat="1" applyFont="1" applyFill="1" applyBorder="1" applyAlignment="1">
      <alignment horizontal="right" vertical="center"/>
    </xf>
    <xf numFmtId="178" fontId="40" fillId="11" borderId="4" xfId="0" applyNumberFormat="1" applyFont="1" applyFill="1" applyBorder="1" applyAlignment="1">
      <alignment horizontal="center" vertical="center"/>
    </xf>
    <xf numFmtId="178" fontId="35" fillId="11" borderId="4" xfId="0" applyNumberFormat="1" applyFont="1" applyFill="1" applyBorder="1" applyAlignment="1">
      <alignment horizontal="center" vertical="center"/>
    </xf>
    <xf numFmtId="177" fontId="38" fillId="11" borderId="4" xfId="0" applyNumberFormat="1" applyFont="1" applyFill="1" applyBorder="1" applyAlignment="1">
      <alignment horizontal="right" vertical="center"/>
    </xf>
    <xf numFmtId="176" fontId="38" fillId="11" borderId="4" xfId="0" quotePrefix="1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2</xdr:row>
      <xdr:rowOff>0</xdr:rowOff>
    </xdr:to>
    <xdr:sp macro="[0]!dynamixelPoseButton" textlink="">
      <xdr:nvSpPr>
        <xdr:cNvPr id="37" name="正方形/長方形 13">
          <a:extLst>
            <a:ext uri="{FF2B5EF4-FFF2-40B4-BE49-F238E27FC236}">
              <a16:creationId xmlns:a16="http://schemas.microsoft.com/office/drawing/2014/main" id="{620EA773-0B70-47AB-9510-1381935ADE1E}"/>
            </a:ext>
          </a:extLst>
        </xdr:cNvPr>
        <xdr:cNvSpPr/>
      </xdr:nvSpPr>
      <xdr:spPr>
        <a:xfrm>
          <a:off x="8865476" y="173354"/>
          <a:ext cx="593834" cy="168232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1</xdr:row>
      <xdr:rowOff>180974</xdr:rowOff>
    </xdr:to>
    <xdr:sp macro="[0]!dynamixelPoseButton" textlink="">
      <xdr:nvSpPr>
        <xdr:cNvPr id="38" name="正方形/長方形 14">
          <a:extLst>
            <a:ext uri="{FF2B5EF4-FFF2-40B4-BE49-F238E27FC236}">
              <a16:creationId xmlns:a16="http://schemas.microsoft.com/office/drawing/2014/main" id="{51010A7E-CC3A-40B2-B921-D6BDBA99F291}"/>
            </a:ext>
          </a:extLst>
        </xdr:cNvPr>
        <xdr:cNvSpPr/>
      </xdr:nvSpPr>
      <xdr:spPr>
        <a:xfrm>
          <a:off x="9459310" y="173354"/>
          <a:ext cx="593835" cy="165801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0</xdr:row>
      <xdr:rowOff>180974</xdr:rowOff>
    </xdr:from>
    <xdr:to>
      <xdr:col>18</xdr:col>
      <xdr:colOff>0</xdr:colOff>
      <xdr:row>2</xdr:row>
      <xdr:rowOff>0</xdr:rowOff>
    </xdr:to>
    <xdr:sp macro="[0]!dynamixelPoseButton" textlink="">
      <xdr:nvSpPr>
        <xdr:cNvPr id="39" name="正方形/長方形 15">
          <a:extLst>
            <a:ext uri="{FF2B5EF4-FFF2-40B4-BE49-F238E27FC236}">
              <a16:creationId xmlns:a16="http://schemas.microsoft.com/office/drawing/2014/main" id="{2F8D57D4-FC80-4701-9013-12BAA21838B9}"/>
            </a:ext>
          </a:extLst>
        </xdr:cNvPr>
        <xdr:cNvSpPr/>
      </xdr:nvSpPr>
      <xdr:spPr>
        <a:xfrm>
          <a:off x="10053145" y="173354"/>
          <a:ext cx="593834" cy="168232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40" name="正方形/長方形 27">
          <a:extLst>
            <a:ext uri="{FF2B5EF4-FFF2-40B4-BE49-F238E27FC236}">
              <a16:creationId xmlns:a16="http://schemas.microsoft.com/office/drawing/2014/main" id="{4B26E9FF-A8BD-4F00-933A-DB4FDD9B90D5}"/>
            </a:ext>
          </a:extLst>
        </xdr:cNvPr>
        <xdr:cNvSpPr/>
      </xdr:nvSpPr>
      <xdr:spPr>
        <a:xfrm>
          <a:off x="10646979" y="173421"/>
          <a:ext cx="593835" cy="168165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zoomScale="115" zoomScaleNormal="115" workbookViewId="0">
      <selection activeCell="J5" sqref="J5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>
        <v>3</v>
      </c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120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1</v>
      </c>
      <c r="J8" s="144">
        <v>2</v>
      </c>
      <c r="K8" s="144">
        <v>3</v>
      </c>
      <c r="L8" s="144">
        <v>4</v>
      </c>
      <c r="M8" s="144">
        <v>5</v>
      </c>
      <c r="N8" s="144">
        <v>6</v>
      </c>
      <c r="O8" s="144">
        <v>7</v>
      </c>
      <c r="P8" s="144">
        <v>8</v>
      </c>
      <c r="Q8" s="144">
        <v>9</v>
      </c>
      <c r="R8" s="144">
        <v>10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zoomScale="145" zoomScaleNormal="145" workbookViewId="0">
      <selection activeCell="I5" sqref="I5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2</v>
      </c>
      <c r="K4" s="111">
        <f t="shared" si="0"/>
        <v>22</v>
      </c>
      <c r="L4" s="111">
        <f t="shared" si="0"/>
        <v>62</v>
      </c>
      <c r="M4" s="111">
        <f t="shared" si="0"/>
        <v>92</v>
      </c>
      <c r="N4" s="111">
        <f t="shared" si="0"/>
        <v>102</v>
      </c>
      <c r="O4" s="111">
        <f t="shared" si="0"/>
        <v>132</v>
      </c>
      <c r="P4" s="111">
        <f t="shared" si="0"/>
        <v>162</v>
      </c>
      <c r="Q4" s="111">
        <f t="shared" si="0"/>
        <v>172</v>
      </c>
      <c r="R4" s="111">
        <f t="shared" si="0"/>
        <v>202</v>
      </c>
      <c r="S4" s="111">
        <f t="shared" si="0"/>
        <v>217</v>
      </c>
      <c r="T4" s="111">
        <f t="shared" si="0"/>
        <v>227</v>
      </c>
      <c r="U4" s="111">
        <f t="shared" si="0"/>
        <v>229</v>
      </c>
      <c r="V4" s="111">
        <f t="shared" si="0"/>
        <v>231</v>
      </c>
      <c r="W4" s="111">
        <f t="shared" si="0"/>
        <v>233</v>
      </c>
      <c r="X4" s="111">
        <f t="shared" si="0"/>
        <v>258</v>
      </c>
      <c r="Y4" s="111">
        <f t="shared" si="0"/>
        <v>358</v>
      </c>
      <c r="Z4" s="111">
        <f t="shared" si="0"/>
        <v>458</v>
      </c>
      <c r="AA4" s="111">
        <f t="shared" si="0"/>
        <v>558</v>
      </c>
      <c r="AB4" s="111">
        <f t="shared" si="0"/>
        <v>658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tabSelected="1" zoomScale="145" zoomScaleNormal="145" workbookViewId="0">
      <selection activeCell="P7" sqref="P7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3.8" thickBot="1" x14ac:dyDescent="0.25">
      <c r="A1" s="147" t="s">
        <v>0</v>
      </c>
      <c r="B1" s="148" t="s">
        <v>43</v>
      </c>
      <c r="C1" s="149"/>
      <c r="D1" s="150"/>
      <c r="E1" s="151"/>
      <c r="F1" s="151"/>
      <c r="G1" s="152"/>
      <c r="H1" s="153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5"/>
      <c r="V1" s="154"/>
      <c r="W1" s="154"/>
      <c r="X1" s="154"/>
      <c r="Y1" s="154"/>
      <c r="Z1" s="154"/>
      <c r="AA1" s="154"/>
      <c r="AB1" s="155"/>
    </row>
    <row r="2" spans="1:28" x14ac:dyDescent="0.2">
      <c r="A2" s="156">
        <v>0</v>
      </c>
      <c r="B2" s="157" t="s">
        <v>44</v>
      </c>
      <c r="C2" s="151"/>
      <c r="D2" s="158"/>
      <c r="E2" s="151"/>
      <c r="F2" s="151"/>
      <c r="G2" s="159" t="s">
        <v>37</v>
      </c>
      <c r="H2" s="151"/>
      <c r="I2" s="151"/>
      <c r="J2" s="151"/>
      <c r="K2" s="151"/>
      <c r="L2" s="151"/>
      <c r="M2" s="151"/>
      <c r="N2" s="151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</row>
    <row r="3" spans="1:28" x14ac:dyDescent="0.2">
      <c r="A3" s="151"/>
      <c r="B3" s="161"/>
      <c r="C3" s="151"/>
      <c r="D3" s="158"/>
      <c r="E3" s="151"/>
      <c r="F3" s="151"/>
      <c r="G3" s="162" t="s">
        <v>1</v>
      </c>
      <c r="H3" s="163"/>
      <c r="I3" s="163"/>
      <c r="J3" s="163"/>
      <c r="K3" s="163"/>
      <c r="L3" s="163"/>
      <c r="M3" s="163"/>
      <c r="N3" s="163"/>
      <c r="O3" s="163"/>
      <c r="P3" s="163" t="s">
        <v>123</v>
      </c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</row>
    <row r="4" spans="1:28" x14ac:dyDescent="0.2">
      <c r="A4" s="151"/>
      <c r="B4" s="164"/>
      <c r="C4" s="151"/>
      <c r="D4" s="151"/>
      <c r="E4" s="151"/>
      <c r="F4" s="151"/>
      <c r="G4" s="165" t="s">
        <v>121</v>
      </c>
      <c r="H4" s="166">
        <v>0</v>
      </c>
      <c r="I4" s="166">
        <f>H4+H5+H6</f>
        <v>2</v>
      </c>
      <c r="J4" s="166">
        <f t="shared" ref="J4:AB4" si="0">I4+I5+I6</f>
        <v>2</v>
      </c>
      <c r="K4" s="166">
        <f t="shared" si="0"/>
        <v>12</v>
      </c>
      <c r="L4" s="166">
        <f t="shared" si="0"/>
        <v>52</v>
      </c>
      <c r="M4" s="166">
        <f t="shared" si="0"/>
        <v>92</v>
      </c>
      <c r="N4" s="166">
        <f t="shared" si="0"/>
        <v>112</v>
      </c>
      <c r="O4" s="166">
        <f t="shared" si="0"/>
        <v>132</v>
      </c>
      <c r="P4" s="166">
        <f t="shared" ref="P4" si="1">O4+O5+O6</f>
        <v>172</v>
      </c>
      <c r="Q4" s="166">
        <f t="shared" ref="Q4" si="2">P4+P5+P6</f>
        <v>372</v>
      </c>
      <c r="R4" s="166">
        <f t="shared" ref="R4" si="3">Q4+Q5+Q6</f>
        <v>392</v>
      </c>
      <c r="S4" s="166">
        <f t="shared" ref="S4" si="4">R4+R5+R6</f>
        <v>422</v>
      </c>
      <c r="T4" s="166">
        <f t="shared" si="0"/>
        <v>452</v>
      </c>
      <c r="U4" s="166">
        <f t="shared" si="0"/>
        <v>462</v>
      </c>
      <c r="V4" s="166">
        <f t="shared" si="0"/>
        <v>464</v>
      </c>
      <c r="W4" s="166">
        <f t="shared" si="0"/>
        <v>466</v>
      </c>
      <c r="X4" s="166">
        <f t="shared" si="0"/>
        <v>491</v>
      </c>
      <c r="Y4" s="166">
        <f t="shared" si="0"/>
        <v>591</v>
      </c>
      <c r="Z4" s="166">
        <f t="shared" si="0"/>
        <v>691</v>
      </c>
      <c r="AA4" s="166">
        <f t="shared" si="0"/>
        <v>791</v>
      </c>
      <c r="AB4" s="166">
        <f t="shared" si="0"/>
        <v>891</v>
      </c>
    </row>
    <row r="5" spans="1:28" x14ac:dyDescent="0.2">
      <c r="A5" s="151"/>
      <c r="B5" s="164"/>
      <c r="C5" s="151"/>
      <c r="D5" s="151"/>
      <c r="E5" s="152"/>
      <c r="F5" s="151"/>
      <c r="G5" s="167" t="s">
        <v>2</v>
      </c>
      <c r="H5" s="168">
        <v>2</v>
      </c>
      <c r="I5" s="168">
        <v>0</v>
      </c>
      <c r="J5" s="168">
        <v>10</v>
      </c>
      <c r="K5" s="168">
        <v>40</v>
      </c>
      <c r="L5" s="168">
        <v>40</v>
      </c>
      <c r="M5" s="168">
        <v>20</v>
      </c>
      <c r="N5" s="168">
        <v>20</v>
      </c>
      <c r="O5" s="168">
        <v>40</v>
      </c>
      <c r="P5" s="168">
        <v>40</v>
      </c>
      <c r="Q5" s="168">
        <v>20</v>
      </c>
      <c r="R5" s="168">
        <v>30</v>
      </c>
      <c r="S5" s="168">
        <v>30</v>
      </c>
      <c r="T5" s="168">
        <v>10</v>
      </c>
      <c r="U5" s="168">
        <v>2</v>
      </c>
      <c r="V5" s="168">
        <v>2</v>
      </c>
      <c r="W5" s="168">
        <v>25</v>
      </c>
      <c r="X5" s="168">
        <v>100</v>
      </c>
      <c r="Y5" s="168">
        <v>100</v>
      </c>
      <c r="Z5" s="168">
        <v>100</v>
      </c>
      <c r="AA5" s="168">
        <v>100</v>
      </c>
      <c r="AB5" s="168">
        <v>100</v>
      </c>
    </row>
    <row r="6" spans="1:28" x14ac:dyDescent="0.2">
      <c r="A6" s="151"/>
      <c r="B6" s="164"/>
      <c r="C6" s="151"/>
      <c r="D6" s="151"/>
      <c r="E6" s="152"/>
      <c r="F6" s="151"/>
      <c r="G6" s="169" t="s">
        <v>3</v>
      </c>
      <c r="H6" s="168">
        <v>0</v>
      </c>
      <c r="I6" s="168">
        <v>0</v>
      </c>
      <c r="J6" s="168">
        <v>0</v>
      </c>
      <c r="K6" s="168">
        <v>0</v>
      </c>
      <c r="L6" s="168">
        <v>0</v>
      </c>
      <c r="M6" s="168">
        <v>0</v>
      </c>
      <c r="N6" s="168">
        <v>0</v>
      </c>
      <c r="O6" s="168">
        <v>0</v>
      </c>
      <c r="P6" s="168">
        <v>160</v>
      </c>
      <c r="Q6" s="168">
        <v>0</v>
      </c>
      <c r="R6" s="168">
        <v>0</v>
      </c>
      <c r="S6" s="168">
        <v>0</v>
      </c>
      <c r="T6" s="168">
        <v>0</v>
      </c>
      <c r="U6" s="168">
        <v>0</v>
      </c>
      <c r="V6" s="168">
        <v>0</v>
      </c>
      <c r="W6" s="168">
        <v>0</v>
      </c>
      <c r="X6" s="168">
        <v>0</v>
      </c>
      <c r="Y6" s="168">
        <v>0</v>
      </c>
      <c r="Z6" s="168">
        <v>0</v>
      </c>
      <c r="AA6" s="168">
        <v>0</v>
      </c>
      <c r="AB6" s="168">
        <v>0</v>
      </c>
    </row>
    <row r="7" spans="1:28" x14ac:dyDescent="0.2">
      <c r="A7" s="170" t="s">
        <v>4</v>
      </c>
      <c r="B7" s="171" t="s">
        <v>5</v>
      </c>
      <c r="C7" s="170"/>
      <c r="D7" s="172" t="s">
        <v>122</v>
      </c>
      <c r="E7" s="173" t="s">
        <v>32</v>
      </c>
      <c r="F7" s="174" t="s">
        <v>33</v>
      </c>
      <c r="G7" s="175" t="s">
        <v>34</v>
      </c>
      <c r="H7" s="176">
        <v>0</v>
      </c>
      <c r="I7" s="176">
        <v>1</v>
      </c>
      <c r="J7" s="176">
        <v>0</v>
      </c>
      <c r="K7" s="176">
        <v>0</v>
      </c>
      <c r="L7" s="176">
        <v>0</v>
      </c>
      <c r="M7" s="176">
        <v>0</v>
      </c>
      <c r="N7" s="176">
        <v>0</v>
      </c>
      <c r="O7" s="176">
        <v>0</v>
      </c>
      <c r="P7" s="176">
        <v>0</v>
      </c>
      <c r="Q7" s="176">
        <v>0</v>
      </c>
      <c r="R7" s="176">
        <v>0</v>
      </c>
      <c r="S7" s="176">
        <v>2</v>
      </c>
      <c r="T7" s="176">
        <v>0</v>
      </c>
      <c r="U7" s="176">
        <v>0</v>
      </c>
      <c r="V7" s="176">
        <v>0</v>
      </c>
      <c r="W7" s="176">
        <v>0</v>
      </c>
      <c r="X7" s="176">
        <v>0</v>
      </c>
      <c r="Y7" s="176">
        <v>0</v>
      </c>
      <c r="Z7" s="176">
        <v>0</v>
      </c>
      <c r="AA7" s="176">
        <v>0</v>
      </c>
      <c r="AB7" s="176">
        <v>0</v>
      </c>
    </row>
    <row r="8" spans="1:28" s="146" customFormat="1" x14ac:dyDescent="0.2">
      <c r="A8" s="139" t="s">
        <v>96</v>
      </c>
      <c r="B8" s="177">
        <v>1</v>
      </c>
      <c r="C8" s="178">
        <v>0</v>
      </c>
      <c r="D8" s="179" t="s">
        <v>45</v>
      </c>
      <c r="E8" s="180">
        <v>1</v>
      </c>
      <c r="F8" s="181">
        <v>0</v>
      </c>
      <c r="G8" s="181">
        <v>1</v>
      </c>
      <c r="H8" s="181">
        <v>0</v>
      </c>
      <c r="I8" s="181">
        <v>0</v>
      </c>
      <c r="J8" s="181">
        <v>0</v>
      </c>
      <c r="K8" s="181">
        <v>0</v>
      </c>
      <c r="L8" s="181">
        <v>0</v>
      </c>
      <c r="M8" s="181">
        <v>0</v>
      </c>
      <c r="N8" s="181">
        <v>0</v>
      </c>
      <c r="O8" s="181">
        <v>0</v>
      </c>
      <c r="P8" s="181">
        <v>0</v>
      </c>
      <c r="Q8" s="181">
        <v>0</v>
      </c>
      <c r="R8" s="181">
        <v>0</v>
      </c>
      <c r="S8" s="181">
        <v>0</v>
      </c>
      <c r="T8" s="181">
        <v>0</v>
      </c>
      <c r="U8" s="181">
        <v>0</v>
      </c>
      <c r="V8" s="181">
        <v>0</v>
      </c>
      <c r="W8" s="181">
        <v>0</v>
      </c>
      <c r="X8" s="181">
        <v>0</v>
      </c>
      <c r="Y8" s="181">
        <v>0</v>
      </c>
      <c r="Z8" s="181">
        <v>0</v>
      </c>
      <c r="AA8" s="181">
        <v>0</v>
      </c>
      <c r="AB8" s="181">
        <v>0</v>
      </c>
    </row>
    <row r="9" spans="1:28" x14ac:dyDescent="0.2">
      <c r="A9" s="122" t="s">
        <v>97</v>
      </c>
      <c r="B9" s="182">
        <v>4</v>
      </c>
      <c r="C9" s="183">
        <v>0</v>
      </c>
      <c r="D9" s="184">
        <v>1</v>
      </c>
      <c r="E9" s="185">
        <v>0</v>
      </c>
      <c r="F9" s="186">
        <v>50</v>
      </c>
      <c r="G9" s="186">
        <v>0</v>
      </c>
      <c r="H9" s="186">
        <v>0</v>
      </c>
      <c r="I9" s="186">
        <v>0</v>
      </c>
      <c r="J9" s="186">
        <v>30</v>
      </c>
      <c r="K9" s="186">
        <v>-120</v>
      </c>
      <c r="L9" s="186">
        <v>-130</v>
      </c>
      <c r="M9" s="186">
        <v>-100</v>
      </c>
      <c r="N9" s="186">
        <v>-70</v>
      </c>
      <c r="O9" s="186">
        <v>-45</v>
      </c>
      <c r="P9" s="186">
        <v>-65</v>
      </c>
      <c r="Q9" s="186">
        <v>-80</v>
      </c>
      <c r="R9" s="186">
        <v>-50</v>
      </c>
      <c r="S9" s="186">
        <v>0</v>
      </c>
      <c r="T9" s="186">
        <v>0</v>
      </c>
      <c r="U9" s="186">
        <v>0</v>
      </c>
      <c r="V9" s="186">
        <v>0</v>
      </c>
      <c r="W9" s="186">
        <v>0</v>
      </c>
      <c r="X9" s="186">
        <v>0</v>
      </c>
      <c r="Y9" s="186">
        <v>0</v>
      </c>
      <c r="Z9" s="186">
        <v>0</v>
      </c>
      <c r="AA9" s="186">
        <v>0</v>
      </c>
      <c r="AB9" s="186">
        <v>0</v>
      </c>
    </row>
    <row r="10" spans="1:28" x14ac:dyDescent="0.2">
      <c r="A10" s="122" t="s">
        <v>98</v>
      </c>
      <c r="B10" s="187">
        <v>16</v>
      </c>
      <c r="C10" s="183">
        <v>0</v>
      </c>
      <c r="D10" s="184">
        <v>2</v>
      </c>
      <c r="E10" s="185">
        <v>0</v>
      </c>
      <c r="F10" s="186">
        <v>5</v>
      </c>
      <c r="G10" s="186">
        <v>0</v>
      </c>
      <c r="H10" s="186">
        <v>0</v>
      </c>
      <c r="I10" s="186">
        <v>0</v>
      </c>
      <c r="J10" s="186">
        <v>90</v>
      </c>
      <c r="K10" s="186">
        <v>100</v>
      </c>
      <c r="L10" s="186">
        <v>80</v>
      </c>
      <c r="M10" s="186">
        <v>0</v>
      </c>
      <c r="N10" s="186">
        <v>10</v>
      </c>
      <c r="O10" s="186">
        <v>10</v>
      </c>
      <c r="P10" s="186">
        <v>10</v>
      </c>
      <c r="Q10" s="186">
        <v>60</v>
      </c>
      <c r="R10" s="186">
        <v>45</v>
      </c>
      <c r="S10" s="186">
        <v>0</v>
      </c>
      <c r="T10" s="186">
        <v>0</v>
      </c>
      <c r="U10" s="186">
        <v>0</v>
      </c>
      <c r="V10" s="186">
        <v>0</v>
      </c>
      <c r="W10" s="186">
        <v>0</v>
      </c>
      <c r="X10" s="186">
        <v>0</v>
      </c>
      <c r="Y10" s="186">
        <v>0</v>
      </c>
      <c r="Z10" s="186">
        <v>0</v>
      </c>
      <c r="AA10" s="186">
        <v>0</v>
      </c>
      <c r="AB10" s="186">
        <v>0</v>
      </c>
    </row>
    <row r="11" spans="1:28" x14ac:dyDescent="0.2">
      <c r="A11" s="122" t="s">
        <v>99</v>
      </c>
      <c r="B11" s="187">
        <v>18</v>
      </c>
      <c r="C11" s="183">
        <v>0</v>
      </c>
      <c r="D11" s="184">
        <v>3</v>
      </c>
      <c r="E11" s="185">
        <v>1</v>
      </c>
      <c r="F11" s="186">
        <v>125</v>
      </c>
      <c r="G11" s="186">
        <v>0</v>
      </c>
      <c r="H11" s="186">
        <v>0</v>
      </c>
      <c r="I11" s="186">
        <v>0</v>
      </c>
      <c r="J11" s="186">
        <v>0</v>
      </c>
      <c r="K11" s="186">
        <v>-150</v>
      </c>
      <c r="L11" s="186">
        <v>-247</v>
      </c>
      <c r="M11" s="186">
        <v>-247</v>
      </c>
      <c r="N11" s="186">
        <v>-247</v>
      </c>
      <c r="O11" s="186">
        <v>-180</v>
      </c>
      <c r="P11" s="186">
        <v>-140</v>
      </c>
      <c r="Q11" s="186">
        <v>-200</v>
      </c>
      <c r="R11" s="186">
        <v>-45</v>
      </c>
      <c r="S11" s="186">
        <v>0</v>
      </c>
      <c r="T11" s="186">
        <v>0</v>
      </c>
      <c r="U11" s="186">
        <v>0</v>
      </c>
      <c r="V11" s="186">
        <v>0</v>
      </c>
      <c r="W11" s="186">
        <v>0</v>
      </c>
      <c r="X11" s="186">
        <v>0</v>
      </c>
      <c r="Y11" s="186">
        <v>0</v>
      </c>
      <c r="Z11" s="186">
        <v>0</v>
      </c>
      <c r="AA11" s="186">
        <v>0</v>
      </c>
      <c r="AB11" s="186">
        <v>0</v>
      </c>
    </row>
    <row r="12" spans="1:28" x14ac:dyDescent="0.2">
      <c r="A12" s="122" t="s">
        <v>100</v>
      </c>
      <c r="B12" s="187">
        <v>17</v>
      </c>
      <c r="C12" s="183">
        <v>0</v>
      </c>
      <c r="D12" s="184">
        <v>4</v>
      </c>
      <c r="E12" s="185">
        <v>0</v>
      </c>
      <c r="F12" s="186">
        <v>125</v>
      </c>
      <c r="G12" s="186">
        <v>0</v>
      </c>
      <c r="H12" s="186">
        <v>0</v>
      </c>
      <c r="I12" s="186">
        <v>0</v>
      </c>
      <c r="J12" s="186">
        <v>0</v>
      </c>
      <c r="K12" s="186">
        <v>-150</v>
      </c>
      <c r="L12" s="186">
        <v>-255</v>
      </c>
      <c r="M12" s="186">
        <v>-255</v>
      </c>
      <c r="N12" s="186">
        <v>-255</v>
      </c>
      <c r="O12" s="186">
        <v>-190</v>
      </c>
      <c r="P12" s="186">
        <v>-150</v>
      </c>
      <c r="Q12" s="186">
        <v>-200</v>
      </c>
      <c r="R12" s="186">
        <v>-45</v>
      </c>
      <c r="S12" s="186">
        <v>0</v>
      </c>
      <c r="T12" s="186">
        <v>0</v>
      </c>
      <c r="U12" s="186">
        <v>0</v>
      </c>
      <c r="V12" s="186">
        <v>0</v>
      </c>
      <c r="W12" s="186">
        <v>0</v>
      </c>
      <c r="X12" s="186">
        <v>0</v>
      </c>
      <c r="Y12" s="186">
        <v>0</v>
      </c>
      <c r="Z12" s="186">
        <v>0</v>
      </c>
      <c r="AA12" s="186">
        <v>0</v>
      </c>
      <c r="AB12" s="186">
        <v>0</v>
      </c>
    </row>
    <row r="13" spans="1:28" x14ac:dyDescent="0.2">
      <c r="A13" s="129" t="s">
        <v>101</v>
      </c>
      <c r="B13" s="188">
        <v>5</v>
      </c>
      <c r="C13" s="189">
        <v>0</v>
      </c>
      <c r="D13" s="190">
        <v>1</v>
      </c>
      <c r="E13" s="191">
        <f t="shared" ref="E13:E16" si="5">IF(E9=0,1,0)</f>
        <v>1</v>
      </c>
      <c r="F13" s="192">
        <v>50</v>
      </c>
      <c r="G13" s="192">
        <f>G9</f>
        <v>0</v>
      </c>
      <c r="H13" s="192">
        <v>0</v>
      </c>
      <c r="I13" s="192">
        <v>0</v>
      </c>
      <c r="J13" s="192">
        <f t="shared" ref="J13:O16" si="6">J9</f>
        <v>30</v>
      </c>
      <c r="K13" s="192">
        <f t="shared" si="6"/>
        <v>-120</v>
      </c>
      <c r="L13" s="192">
        <f t="shared" si="6"/>
        <v>-130</v>
      </c>
      <c r="M13" s="192">
        <f t="shared" si="6"/>
        <v>-100</v>
      </c>
      <c r="N13" s="192">
        <f t="shared" si="6"/>
        <v>-70</v>
      </c>
      <c r="O13" s="192">
        <f t="shared" si="6"/>
        <v>-45</v>
      </c>
      <c r="P13" s="192">
        <f t="shared" ref="P13:S13" si="7">P9</f>
        <v>-65</v>
      </c>
      <c r="Q13" s="192">
        <f>Q9</f>
        <v>-80</v>
      </c>
      <c r="R13" s="192">
        <f t="shared" ref="Q13:R13" si="8">R9</f>
        <v>-50</v>
      </c>
      <c r="S13" s="192">
        <v>0</v>
      </c>
      <c r="T13" s="192">
        <v>0</v>
      </c>
      <c r="U13" s="192">
        <v>0</v>
      </c>
      <c r="V13" s="192">
        <v>0</v>
      </c>
      <c r="W13" s="192">
        <v>0</v>
      </c>
      <c r="X13" s="192">
        <v>0</v>
      </c>
      <c r="Y13" s="192">
        <v>0</v>
      </c>
      <c r="Z13" s="192">
        <v>0</v>
      </c>
      <c r="AA13" s="192">
        <v>0</v>
      </c>
      <c r="AB13" s="192">
        <v>0</v>
      </c>
    </row>
    <row r="14" spans="1:28" x14ac:dyDescent="0.2">
      <c r="A14" s="129" t="s">
        <v>102</v>
      </c>
      <c r="B14" s="188">
        <v>19</v>
      </c>
      <c r="C14" s="189">
        <v>0</v>
      </c>
      <c r="D14" s="190">
        <v>2</v>
      </c>
      <c r="E14" s="191">
        <f t="shared" si="5"/>
        <v>1</v>
      </c>
      <c r="F14" s="192">
        <v>5</v>
      </c>
      <c r="G14" s="192">
        <f t="shared" ref="G14:G16" si="9">G10</f>
        <v>0</v>
      </c>
      <c r="H14" s="192">
        <v>0</v>
      </c>
      <c r="I14" s="192">
        <v>0</v>
      </c>
      <c r="J14" s="192">
        <f t="shared" si="6"/>
        <v>90</v>
      </c>
      <c r="K14" s="192">
        <f t="shared" si="6"/>
        <v>100</v>
      </c>
      <c r="L14" s="192">
        <f t="shared" si="6"/>
        <v>80</v>
      </c>
      <c r="M14" s="192">
        <f t="shared" si="6"/>
        <v>0</v>
      </c>
      <c r="N14" s="192">
        <f t="shared" si="6"/>
        <v>10</v>
      </c>
      <c r="O14" s="192">
        <f t="shared" si="6"/>
        <v>10</v>
      </c>
      <c r="P14" s="192">
        <f t="shared" ref="P14:S14" si="10">P10</f>
        <v>10</v>
      </c>
      <c r="Q14" s="192">
        <f t="shared" si="10"/>
        <v>60</v>
      </c>
      <c r="R14" s="192">
        <f t="shared" si="10"/>
        <v>45</v>
      </c>
      <c r="S14" s="192">
        <v>0</v>
      </c>
      <c r="T14" s="192">
        <v>0</v>
      </c>
      <c r="U14" s="192">
        <v>0</v>
      </c>
      <c r="V14" s="192">
        <v>0</v>
      </c>
      <c r="W14" s="192">
        <v>0</v>
      </c>
      <c r="X14" s="192">
        <v>0</v>
      </c>
      <c r="Y14" s="192">
        <v>0</v>
      </c>
      <c r="Z14" s="192">
        <v>0</v>
      </c>
      <c r="AA14" s="192">
        <v>0</v>
      </c>
      <c r="AB14" s="192">
        <v>0</v>
      </c>
    </row>
    <row r="15" spans="1:28" x14ac:dyDescent="0.2">
      <c r="A15" s="129" t="s">
        <v>103</v>
      </c>
      <c r="B15" s="188">
        <v>21</v>
      </c>
      <c r="C15" s="189">
        <v>0</v>
      </c>
      <c r="D15" s="190">
        <v>3</v>
      </c>
      <c r="E15" s="191">
        <f t="shared" si="5"/>
        <v>0</v>
      </c>
      <c r="F15" s="192">
        <v>125</v>
      </c>
      <c r="G15" s="192">
        <f t="shared" si="9"/>
        <v>0</v>
      </c>
      <c r="H15" s="192">
        <v>0</v>
      </c>
      <c r="I15" s="192">
        <v>0</v>
      </c>
      <c r="J15" s="192">
        <f t="shared" si="6"/>
        <v>0</v>
      </c>
      <c r="K15" s="192">
        <f t="shared" si="6"/>
        <v>-150</v>
      </c>
      <c r="L15" s="192">
        <f t="shared" si="6"/>
        <v>-247</v>
      </c>
      <c r="M15" s="192">
        <f t="shared" si="6"/>
        <v>-247</v>
      </c>
      <c r="N15" s="192">
        <f t="shared" si="6"/>
        <v>-247</v>
      </c>
      <c r="O15" s="192">
        <f t="shared" si="6"/>
        <v>-180</v>
      </c>
      <c r="P15" s="192">
        <f t="shared" ref="P15:S15" si="11">P11</f>
        <v>-140</v>
      </c>
      <c r="Q15" s="192">
        <f t="shared" si="11"/>
        <v>-200</v>
      </c>
      <c r="R15" s="192">
        <f t="shared" si="11"/>
        <v>-45</v>
      </c>
      <c r="S15" s="192">
        <v>0</v>
      </c>
      <c r="T15" s="192">
        <v>0</v>
      </c>
      <c r="U15" s="192">
        <v>0</v>
      </c>
      <c r="V15" s="192">
        <v>0</v>
      </c>
      <c r="W15" s="192">
        <v>0</v>
      </c>
      <c r="X15" s="192">
        <v>0</v>
      </c>
      <c r="Y15" s="192">
        <v>0</v>
      </c>
      <c r="Z15" s="192">
        <v>0</v>
      </c>
      <c r="AA15" s="192">
        <v>0</v>
      </c>
      <c r="AB15" s="192">
        <v>0</v>
      </c>
    </row>
    <row r="16" spans="1:28" x14ac:dyDescent="0.2">
      <c r="A16" s="129" t="s">
        <v>104</v>
      </c>
      <c r="B16" s="188">
        <v>20</v>
      </c>
      <c r="C16" s="189">
        <v>0</v>
      </c>
      <c r="D16" s="190">
        <v>4</v>
      </c>
      <c r="E16" s="191">
        <f t="shared" si="5"/>
        <v>1</v>
      </c>
      <c r="F16" s="192">
        <v>125</v>
      </c>
      <c r="G16" s="192">
        <f t="shared" si="9"/>
        <v>0</v>
      </c>
      <c r="H16" s="192">
        <v>0</v>
      </c>
      <c r="I16" s="192">
        <v>0</v>
      </c>
      <c r="J16" s="192">
        <f t="shared" si="6"/>
        <v>0</v>
      </c>
      <c r="K16" s="192">
        <f t="shared" si="6"/>
        <v>-150</v>
      </c>
      <c r="L16" s="192">
        <f t="shared" si="6"/>
        <v>-255</v>
      </c>
      <c r="M16" s="192">
        <f t="shared" si="6"/>
        <v>-255</v>
      </c>
      <c r="N16" s="192">
        <f t="shared" si="6"/>
        <v>-255</v>
      </c>
      <c r="O16" s="192">
        <f t="shared" si="6"/>
        <v>-190</v>
      </c>
      <c r="P16" s="192">
        <f t="shared" ref="P16:S16" si="12">P12</f>
        <v>-150</v>
      </c>
      <c r="Q16" s="192">
        <f t="shared" si="12"/>
        <v>-200</v>
      </c>
      <c r="R16" s="192">
        <f t="shared" si="12"/>
        <v>-45</v>
      </c>
      <c r="S16" s="192">
        <v>0</v>
      </c>
      <c r="T16" s="192">
        <v>0</v>
      </c>
      <c r="U16" s="192">
        <v>0</v>
      </c>
      <c r="V16" s="192">
        <v>0</v>
      </c>
      <c r="W16" s="192">
        <v>0</v>
      </c>
      <c r="X16" s="192">
        <v>0</v>
      </c>
      <c r="Y16" s="192">
        <v>0</v>
      </c>
      <c r="Z16" s="192">
        <v>0</v>
      </c>
      <c r="AA16" s="192">
        <v>0</v>
      </c>
      <c r="AB16" s="192">
        <v>0</v>
      </c>
    </row>
    <row r="17" spans="1:28" x14ac:dyDescent="0.2">
      <c r="A17" s="122" t="s">
        <v>105</v>
      </c>
      <c r="B17" s="187">
        <v>2</v>
      </c>
      <c r="C17" s="183">
        <v>0</v>
      </c>
      <c r="D17" s="184">
        <v>5</v>
      </c>
      <c r="E17" s="185">
        <v>1</v>
      </c>
      <c r="F17" s="186">
        <v>10</v>
      </c>
      <c r="G17" s="186">
        <v>-1</v>
      </c>
      <c r="H17" s="186">
        <v>0</v>
      </c>
      <c r="I17" s="186">
        <v>0</v>
      </c>
      <c r="J17" s="186">
        <f t="shared" ref="J17:P17" si="13">-J21</f>
        <v>5</v>
      </c>
      <c r="K17" s="186">
        <f t="shared" si="13"/>
        <v>5</v>
      </c>
      <c r="L17" s="186">
        <f t="shared" si="13"/>
        <v>5</v>
      </c>
      <c r="M17" s="186">
        <f t="shared" si="13"/>
        <v>5</v>
      </c>
      <c r="N17" s="186">
        <f t="shared" si="13"/>
        <v>5</v>
      </c>
      <c r="O17" s="186">
        <f t="shared" si="13"/>
        <v>5</v>
      </c>
      <c r="P17" s="186">
        <f t="shared" ref="P17:S17" si="14">-P21</f>
        <v>5</v>
      </c>
      <c r="Q17" s="186">
        <v>5</v>
      </c>
      <c r="R17" s="186">
        <v>-5</v>
      </c>
      <c r="S17" s="186">
        <v>0</v>
      </c>
      <c r="T17" s="186">
        <v>0</v>
      </c>
      <c r="U17" s="186">
        <v>0</v>
      </c>
      <c r="V17" s="186">
        <v>0</v>
      </c>
      <c r="W17" s="186">
        <v>0</v>
      </c>
      <c r="X17" s="186">
        <v>0</v>
      </c>
      <c r="Y17" s="186">
        <v>0</v>
      </c>
      <c r="Z17" s="186">
        <v>0</v>
      </c>
      <c r="AA17" s="186">
        <v>0</v>
      </c>
      <c r="AB17" s="186">
        <v>0</v>
      </c>
    </row>
    <row r="18" spans="1:28" x14ac:dyDescent="0.2">
      <c r="A18" s="122" t="s">
        <v>106</v>
      </c>
      <c r="B18" s="187">
        <v>6</v>
      </c>
      <c r="C18" s="183">
        <v>0</v>
      </c>
      <c r="D18" s="184">
        <v>6</v>
      </c>
      <c r="E18" s="185">
        <v>0</v>
      </c>
      <c r="F18" s="186">
        <v>5</v>
      </c>
      <c r="G18" s="186">
        <v>-1</v>
      </c>
      <c r="H18" s="186">
        <v>0</v>
      </c>
      <c r="I18" s="186">
        <v>0</v>
      </c>
      <c r="J18" s="186">
        <v>0</v>
      </c>
      <c r="K18" s="186">
        <v>0</v>
      </c>
      <c r="L18" s="186">
        <v>0</v>
      </c>
      <c r="M18" s="186">
        <v>0</v>
      </c>
      <c r="N18" s="186">
        <v>0</v>
      </c>
      <c r="O18" s="186">
        <v>0</v>
      </c>
      <c r="P18" s="186">
        <v>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6">
        <v>0</v>
      </c>
      <c r="X18" s="186">
        <v>0</v>
      </c>
      <c r="Y18" s="186">
        <v>0</v>
      </c>
      <c r="Z18" s="186">
        <v>0</v>
      </c>
      <c r="AA18" s="186">
        <v>0</v>
      </c>
      <c r="AB18" s="186">
        <v>0</v>
      </c>
    </row>
    <row r="19" spans="1:28" x14ac:dyDescent="0.2">
      <c r="A19" s="122" t="s">
        <v>113</v>
      </c>
      <c r="B19" s="187">
        <v>7</v>
      </c>
      <c r="C19" s="183">
        <v>0</v>
      </c>
      <c r="D19" s="184">
        <v>7</v>
      </c>
      <c r="E19" s="185">
        <v>0</v>
      </c>
      <c r="F19" s="186">
        <v>6</v>
      </c>
      <c r="G19" s="186">
        <v>-1</v>
      </c>
      <c r="H19" s="186">
        <v>0</v>
      </c>
      <c r="I19" s="186">
        <v>0</v>
      </c>
      <c r="J19" s="186">
        <v>-35</v>
      </c>
      <c r="K19" s="186">
        <v>-35</v>
      </c>
      <c r="L19" s="186">
        <v>-35</v>
      </c>
      <c r="M19" s="186">
        <v>-35</v>
      </c>
      <c r="N19" s="186">
        <v>-35</v>
      </c>
      <c r="O19" s="186">
        <v>-35</v>
      </c>
      <c r="P19" s="186">
        <v>-35</v>
      </c>
      <c r="Q19" s="186">
        <v>-35</v>
      </c>
      <c r="R19" s="186">
        <v>-20</v>
      </c>
      <c r="S19" s="186">
        <v>0</v>
      </c>
      <c r="T19" s="186">
        <v>0</v>
      </c>
      <c r="U19" s="186">
        <v>0</v>
      </c>
      <c r="V19" s="186">
        <v>0</v>
      </c>
      <c r="W19" s="186">
        <v>0</v>
      </c>
      <c r="X19" s="186">
        <v>0</v>
      </c>
      <c r="Y19" s="186">
        <v>0</v>
      </c>
      <c r="Z19" s="186">
        <v>0</v>
      </c>
      <c r="AA19" s="186">
        <v>0</v>
      </c>
      <c r="AB19" s="186">
        <v>0</v>
      </c>
    </row>
    <row r="20" spans="1:28" x14ac:dyDescent="0.2">
      <c r="A20" s="122" t="s">
        <v>107</v>
      </c>
      <c r="B20" s="182">
        <v>8</v>
      </c>
      <c r="C20" s="183">
        <v>0</v>
      </c>
      <c r="D20" s="184">
        <v>8</v>
      </c>
      <c r="E20" s="185">
        <v>1</v>
      </c>
      <c r="F20" s="186">
        <v>11</v>
      </c>
      <c r="G20" s="186">
        <v>-1</v>
      </c>
      <c r="H20" s="186">
        <v>0</v>
      </c>
      <c r="I20" s="186">
        <v>0</v>
      </c>
      <c r="J20" s="186">
        <v>-35</v>
      </c>
      <c r="K20" s="186">
        <v>-35</v>
      </c>
      <c r="L20" s="186">
        <v>-35</v>
      </c>
      <c r="M20" s="186">
        <v>-35</v>
      </c>
      <c r="N20" s="186">
        <v>-35</v>
      </c>
      <c r="O20" s="186">
        <v>-35</v>
      </c>
      <c r="P20" s="186">
        <v>-35</v>
      </c>
      <c r="Q20" s="186">
        <v>-35</v>
      </c>
      <c r="R20" s="186">
        <v>-20</v>
      </c>
      <c r="S20" s="186">
        <v>0</v>
      </c>
      <c r="T20" s="186">
        <v>0</v>
      </c>
      <c r="U20" s="186">
        <v>0</v>
      </c>
      <c r="V20" s="186">
        <v>0</v>
      </c>
      <c r="W20" s="186">
        <v>0</v>
      </c>
      <c r="X20" s="186">
        <v>0</v>
      </c>
      <c r="Y20" s="186">
        <v>0</v>
      </c>
      <c r="Z20" s="186">
        <v>0</v>
      </c>
      <c r="AA20" s="186">
        <v>0</v>
      </c>
      <c r="AB20" s="186">
        <v>0</v>
      </c>
    </row>
    <row r="21" spans="1:28" x14ac:dyDescent="0.2">
      <c r="A21" s="122" t="s">
        <v>108</v>
      </c>
      <c r="B21" s="187">
        <v>9</v>
      </c>
      <c r="C21" s="183">
        <v>0</v>
      </c>
      <c r="D21" s="184">
        <v>9</v>
      </c>
      <c r="E21" s="185">
        <v>1</v>
      </c>
      <c r="F21" s="186">
        <v>-9.5</v>
      </c>
      <c r="G21" s="186">
        <v>0.5</v>
      </c>
      <c r="H21" s="186">
        <v>0</v>
      </c>
      <c r="I21" s="186">
        <v>0</v>
      </c>
      <c r="J21" s="186">
        <v>-5</v>
      </c>
      <c r="K21" s="186">
        <v>-5</v>
      </c>
      <c r="L21" s="186">
        <v>-5</v>
      </c>
      <c r="M21" s="186">
        <v>-5</v>
      </c>
      <c r="N21" s="186">
        <v>-5</v>
      </c>
      <c r="O21" s="186">
        <v>-5</v>
      </c>
      <c r="P21" s="186">
        <v>-5</v>
      </c>
      <c r="Q21" s="186">
        <v>5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6">
        <v>0</v>
      </c>
      <c r="X21" s="186">
        <v>0</v>
      </c>
      <c r="Y21" s="186">
        <v>0</v>
      </c>
      <c r="Z21" s="186">
        <v>0</v>
      </c>
      <c r="AA21" s="186">
        <v>0</v>
      </c>
      <c r="AB21" s="186">
        <v>0</v>
      </c>
    </row>
    <row r="22" spans="1:28" x14ac:dyDescent="0.2">
      <c r="A22" s="122" t="s">
        <v>109</v>
      </c>
      <c r="B22" s="187">
        <v>10</v>
      </c>
      <c r="C22" s="183">
        <v>0</v>
      </c>
      <c r="D22" s="184">
        <v>10</v>
      </c>
      <c r="E22" s="185">
        <v>0</v>
      </c>
      <c r="F22" s="186">
        <v>-2</v>
      </c>
      <c r="G22" s="186">
        <v>0</v>
      </c>
      <c r="H22" s="186">
        <v>0</v>
      </c>
      <c r="I22" s="186">
        <v>0</v>
      </c>
      <c r="J22" s="186">
        <v>0</v>
      </c>
      <c r="K22" s="186">
        <v>0</v>
      </c>
      <c r="L22" s="186">
        <v>0</v>
      </c>
      <c r="M22" s="186">
        <v>0</v>
      </c>
      <c r="N22" s="186">
        <v>0</v>
      </c>
      <c r="O22" s="186">
        <v>0</v>
      </c>
      <c r="P22" s="186">
        <v>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6">
        <v>0</v>
      </c>
      <c r="X22" s="186">
        <v>0</v>
      </c>
      <c r="Y22" s="186">
        <v>0</v>
      </c>
      <c r="Z22" s="186">
        <v>0</v>
      </c>
      <c r="AA22" s="186">
        <v>0</v>
      </c>
      <c r="AB22" s="186">
        <v>0</v>
      </c>
    </row>
    <row r="23" spans="1:28" s="89" customFormat="1" x14ac:dyDescent="0.2">
      <c r="A23" s="129" t="s">
        <v>116</v>
      </c>
      <c r="B23" s="188">
        <v>3</v>
      </c>
      <c r="C23" s="189">
        <v>0</v>
      </c>
      <c r="D23" s="190">
        <v>5</v>
      </c>
      <c r="E23" s="191">
        <f>E17</f>
        <v>1</v>
      </c>
      <c r="F23" s="192">
        <v>10</v>
      </c>
      <c r="G23" s="192">
        <v>1</v>
      </c>
      <c r="H23" s="192">
        <v>0</v>
      </c>
      <c r="I23" s="192">
        <v>0</v>
      </c>
      <c r="J23" s="192">
        <f t="shared" ref="J23:P23" si="15">J17</f>
        <v>5</v>
      </c>
      <c r="K23" s="192">
        <f t="shared" si="15"/>
        <v>5</v>
      </c>
      <c r="L23" s="192">
        <f t="shared" si="15"/>
        <v>5</v>
      </c>
      <c r="M23" s="192">
        <f t="shared" si="15"/>
        <v>5</v>
      </c>
      <c r="N23" s="192">
        <f t="shared" si="15"/>
        <v>5</v>
      </c>
      <c r="O23" s="192">
        <f t="shared" si="15"/>
        <v>5</v>
      </c>
      <c r="P23" s="192">
        <f t="shared" ref="P23:S23" si="16">P17</f>
        <v>5</v>
      </c>
      <c r="Q23" s="192">
        <f>Q17</f>
        <v>5</v>
      </c>
      <c r="R23" s="192">
        <f t="shared" ref="R23:Z23" si="17">R17</f>
        <v>-5</v>
      </c>
      <c r="S23" s="192">
        <f t="shared" si="17"/>
        <v>0</v>
      </c>
      <c r="T23" s="192">
        <f t="shared" si="17"/>
        <v>0</v>
      </c>
      <c r="U23" s="192">
        <f t="shared" si="17"/>
        <v>0</v>
      </c>
      <c r="V23" s="192">
        <f t="shared" si="17"/>
        <v>0</v>
      </c>
      <c r="W23" s="192">
        <f t="shared" si="17"/>
        <v>0</v>
      </c>
      <c r="X23" s="192">
        <f t="shared" si="17"/>
        <v>0</v>
      </c>
      <c r="Y23" s="192">
        <f t="shared" si="17"/>
        <v>0</v>
      </c>
      <c r="Z23" s="192">
        <f t="shared" si="17"/>
        <v>0</v>
      </c>
      <c r="AA23" s="192">
        <v>0</v>
      </c>
      <c r="AB23" s="192">
        <v>0</v>
      </c>
    </row>
    <row r="24" spans="1:28" s="89" customFormat="1" x14ac:dyDescent="0.2">
      <c r="A24" s="129" t="s">
        <v>115</v>
      </c>
      <c r="B24" s="188">
        <v>11</v>
      </c>
      <c r="C24" s="189">
        <v>0</v>
      </c>
      <c r="D24" s="190">
        <v>6</v>
      </c>
      <c r="E24" s="191">
        <f>IF(E18=0,1,0)</f>
        <v>1</v>
      </c>
      <c r="F24" s="192">
        <v>5</v>
      </c>
      <c r="G24" s="192">
        <v>1</v>
      </c>
      <c r="H24" s="192">
        <v>0</v>
      </c>
      <c r="I24" s="192">
        <v>0</v>
      </c>
      <c r="J24" s="192">
        <v>0</v>
      </c>
      <c r="K24" s="192">
        <v>0</v>
      </c>
      <c r="L24" s="192">
        <v>0</v>
      </c>
      <c r="M24" s="192">
        <v>0</v>
      </c>
      <c r="N24" s="192">
        <v>0</v>
      </c>
      <c r="O24" s="192">
        <v>0</v>
      </c>
      <c r="P24" s="192">
        <v>0</v>
      </c>
      <c r="Q24" s="192">
        <f t="shared" ref="Q24:Z28" si="18">Q18</f>
        <v>0</v>
      </c>
      <c r="R24" s="192">
        <f t="shared" si="18"/>
        <v>0</v>
      </c>
      <c r="S24" s="192">
        <f t="shared" si="18"/>
        <v>0</v>
      </c>
      <c r="T24" s="192">
        <f t="shared" si="18"/>
        <v>0</v>
      </c>
      <c r="U24" s="192">
        <f t="shared" si="18"/>
        <v>0</v>
      </c>
      <c r="V24" s="192">
        <f t="shared" si="18"/>
        <v>0</v>
      </c>
      <c r="W24" s="192">
        <f t="shared" si="18"/>
        <v>0</v>
      </c>
      <c r="X24" s="192">
        <f t="shared" si="18"/>
        <v>0</v>
      </c>
      <c r="Y24" s="192">
        <f t="shared" si="18"/>
        <v>0</v>
      </c>
      <c r="Z24" s="192">
        <f t="shared" si="18"/>
        <v>0</v>
      </c>
      <c r="AA24" s="192">
        <v>0</v>
      </c>
      <c r="AB24" s="192">
        <v>0</v>
      </c>
    </row>
    <row r="25" spans="1:28" s="89" customFormat="1" x14ac:dyDescent="0.2">
      <c r="A25" s="129" t="s">
        <v>114</v>
      </c>
      <c r="B25" s="188">
        <v>12</v>
      </c>
      <c r="C25" s="189">
        <v>0</v>
      </c>
      <c r="D25" s="190">
        <v>7</v>
      </c>
      <c r="E25" s="191">
        <f>IF(E19=0,1,0)</f>
        <v>1</v>
      </c>
      <c r="F25" s="192">
        <v>6</v>
      </c>
      <c r="G25" s="192">
        <v>1</v>
      </c>
      <c r="H25" s="192">
        <v>0</v>
      </c>
      <c r="I25" s="192">
        <v>0</v>
      </c>
      <c r="J25" s="192">
        <v>-35</v>
      </c>
      <c r="K25" s="192">
        <v>-35</v>
      </c>
      <c r="L25" s="192">
        <v>-35</v>
      </c>
      <c r="M25" s="192">
        <v>-35</v>
      </c>
      <c r="N25" s="192">
        <v>-35</v>
      </c>
      <c r="O25" s="192">
        <v>-35</v>
      </c>
      <c r="P25" s="192">
        <v>-35</v>
      </c>
      <c r="Q25" s="192">
        <f t="shared" si="18"/>
        <v>-35</v>
      </c>
      <c r="R25" s="192">
        <f t="shared" si="18"/>
        <v>-20</v>
      </c>
      <c r="S25" s="192">
        <f t="shared" si="18"/>
        <v>0</v>
      </c>
      <c r="T25" s="192">
        <f t="shared" si="18"/>
        <v>0</v>
      </c>
      <c r="U25" s="192">
        <f t="shared" si="18"/>
        <v>0</v>
      </c>
      <c r="V25" s="192">
        <f t="shared" si="18"/>
        <v>0</v>
      </c>
      <c r="W25" s="192">
        <f t="shared" si="18"/>
        <v>0</v>
      </c>
      <c r="X25" s="192">
        <f t="shared" si="18"/>
        <v>0</v>
      </c>
      <c r="Y25" s="192">
        <f t="shared" si="18"/>
        <v>0</v>
      </c>
      <c r="Z25" s="192">
        <f t="shared" si="18"/>
        <v>0</v>
      </c>
      <c r="AA25" s="192">
        <v>0</v>
      </c>
      <c r="AB25" s="192">
        <v>0</v>
      </c>
    </row>
    <row r="26" spans="1:28" s="89" customFormat="1" x14ac:dyDescent="0.2">
      <c r="A26" s="129" t="s">
        <v>112</v>
      </c>
      <c r="B26" s="193">
        <v>13</v>
      </c>
      <c r="C26" s="189">
        <v>0</v>
      </c>
      <c r="D26" s="190">
        <v>8</v>
      </c>
      <c r="E26" s="191">
        <f>IF(E20=0,1,0)</f>
        <v>0</v>
      </c>
      <c r="F26" s="192">
        <v>11</v>
      </c>
      <c r="G26" s="192">
        <v>1</v>
      </c>
      <c r="H26" s="192">
        <v>0</v>
      </c>
      <c r="I26" s="192">
        <v>0</v>
      </c>
      <c r="J26" s="192">
        <v>-35</v>
      </c>
      <c r="K26" s="192">
        <v>-35</v>
      </c>
      <c r="L26" s="192">
        <v>-35</v>
      </c>
      <c r="M26" s="192">
        <v>-35</v>
      </c>
      <c r="N26" s="192">
        <v>-35</v>
      </c>
      <c r="O26" s="192">
        <v>-35</v>
      </c>
      <c r="P26" s="192">
        <v>-35</v>
      </c>
      <c r="Q26" s="192">
        <f t="shared" si="18"/>
        <v>-35</v>
      </c>
      <c r="R26" s="192">
        <f t="shared" si="18"/>
        <v>-20</v>
      </c>
      <c r="S26" s="192">
        <f t="shared" si="18"/>
        <v>0</v>
      </c>
      <c r="T26" s="192">
        <f t="shared" si="18"/>
        <v>0</v>
      </c>
      <c r="U26" s="192">
        <f t="shared" si="18"/>
        <v>0</v>
      </c>
      <c r="V26" s="192">
        <f t="shared" si="18"/>
        <v>0</v>
      </c>
      <c r="W26" s="192">
        <f t="shared" si="18"/>
        <v>0</v>
      </c>
      <c r="X26" s="192">
        <f t="shared" si="18"/>
        <v>0</v>
      </c>
      <c r="Y26" s="192">
        <f t="shared" si="18"/>
        <v>0</v>
      </c>
      <c r="Z26" s="192">
        <f t="shared" si="18"/>
        <v>0</v>
      </c>
      <c r="AA26" s="192">
        <v>0</v>
      </c>
      <c r="AB26" s="192">
        <v>0</v>
      </c>
    </row>
    <row r="27" spans="1:28" s="89" customFormat="1" x14ac:dyDescent="0.2">
      <c r="A27" s="129" t="s">
        <v>111</v>
      </c>
      <c r="B27" s="188">
        <v>14</v>
      </c>
      <c r="C27" s="189">
        <v>0</v>
      </c>
      <c r="D27" s="190">
        <v>9</v>
      </c>
      <c r="E27" s="191">
        <f>IF(E21=0,1,0)</f>
        <v>0</v>
      </c>
      <c r="F27" s="192">
        <v>-9.5</v>
      </c>
      <c r="G27" s="192">
        <v>-0.5</v>
      </c>
      <c r="H27" s="192">
        <v>0</v>
      </c>
      <c r="I27" s="192">
        <v>0</v>
      </c>
      <c r="J27" s="192">
        <f t="shared" ref="J27:P27" si="19">J21</f>
        <v>-5</v>
      </c>
      <c r="K27" s="192">
        <f t="shared" si="19"/>
        <v>-5</v>
      </c>
      <c r="L27" s="192">
        <f t="shared" si="19"/>
        <v>-5</v>
      </c>
      <c r="M27" s="192">
        <f t="shared" si="19"/>
        <v>-5</v>
      </c>
      <c r="N27" s="192">
        <f t="shared" si="19"/>
        <v>-5</v>
      </c>
      <c r="O27" s="192">
        <f t="shared" si="19"/>
        <v>-5</v>
      </c>
      <c r="P27" s="192">
        <f t="shared" ref="P27:S27" si="20">P21</f>
        <v>-5</v>
      </c>
      <c r="Q27" s="192">
        <f t="shared" si="18"/>
        <v>5</v>
      </c>
      <c r="R27" s="192">
        <f t="shared" si="18"/>
        <v>0</v>
      </c>
      <c r="S27" s="192">
        <f t="shared" si="18"/>
        <v>0</v>
      </c>
      <c r="T27" s="192">
        <f t="shared" si="18"/>
        <v>0</v>
      </c>
      <c r="U27" s="192">
        <f t="shared" si="18"/>
        <v>0</v>
      </c>
      <c r="V27" s="192">
        <f t="shared" si="18"/>
        <v>0</v>
      </c>
      <c r="W27" s="192">
        <f t="shared" si="18"/>
        <v>0</v>
      </c>
      <c r="X27" s="192">
        <f t="shared" si="18"/>
        <v>0</v>
      </c>
      <c r="Y27" s="192">
        <f t="shared" si="18"/>
        <v>0</v>
      </c>
      <c r="Z27" s="192">
        <f t="shared" si="18"/>
        <v>0</v>
      </c>
      <c r="AA27" s="192">
        <v>0</v>
      </c>
      <c r="AB27" s="192">
        <v>0</v>
      </c>
    </row>
    <row r="28" spans="1:28" s="89" customFormat="1" x14ac:dyDescent="0.2">
      <c r="A28" s="129" t="s">
        <v>110</v>
      </c>
      <c r="B28" s="188">
        <v>15</v>
      </c>
      <c r="C28" s="189">
        <v>0</v>
      </c>
      <c r="D28" s="190">
        <v>10</v>
      </c>
      <c r="E28" s="191">
        <f>IF(E22=0,1,0)</f>
        <v>1</v>
      </c>
      <c r="F28" s="192">
        <v>-2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192">
        <v>0</v>
      </c>
      <c r="O28" s="192">
        <v>0</v>
      </c>
      <c r="P28" s="192">
        <v>0</v>
      </c>
      <c r="Q28" s="192">
        <f t="shared" si="18"/>
        <v>0</v>
      </c>
      <c r="R28" s="192">
        <f t="shared" si="18"/>
        <v>0</v>
      </c>
      <c r="S28" s="192">
        <f t="shared" si="18"/>
        <v>0</v>
      </c>
      <c r="T28" s="192">
        <f t="shared" si="18"/>
        <v>0</v>
      </c>
      <c r="U28" s="192">
        <f t="shared" si="18"/>
        <v>0</v>
      </c>
      <c r="V28" s="192">
        <f t="shared" si="18"/>
        <v>0</v>
      </c>
      <c r="W28" s="192">
        <f t="shared" si="18"/>
        <v>0</v>
      </c>
      <c r="X28" s="192">
        <f t="shared" si="18"/>
        <v>0</v>
      </c>
      <c r="Y28" s="192">
        <f t="shared" si="18"/>
        <v>0</v>
      </c>
      <c r="Z28" s="192">
        <f t="shared" si="18"/>
        <v>0</v>
      </c>
      <c r="AA28" s="192">
        <v>0</v>
      </c>
      <c r="AB28" s="192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T19:AB21 T17:AB17 H24:P24 H22:AB22 H28:P28 H18:AB18 AA23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S21" name="入力範囲_4_1_1_1_1_1_5"/>
    <protectedRange sqref="H17:S17" name="入力範囲_4_1_1_1_1_1_6"/>
    <protectedRange sqref="H25:P27" name="入力範囲_4_1_1_1_1_1_7"/>
    <protectedRange sqref="H23:Z23 Q24:Z28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zoomScale="145" zoomScaleNormal="145" workbookViewId="0">
      <selection activeCell="K10" sqref="K10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147" t="s">
        <v>0</v>
      </c>
      <c r="B1" s="148" t="s">
        <v>43</v>
      </c>
      <c r="C1" s="149"/>
      <c r="D1" s="150"/>
      <c r="E1" s="151"/>
      <c r="F1" s="151"/>
      <c r="G1" s="152"/>
      <c r="H1" s="153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5"/>
      <c r="V1" s="154"/>
      <c r="W1" s="154"/>
      <c r="X1" s="154"/>
      <c r="Y1" s="154"/>
      <c r="Z1" s="154"/>
      <c r="AA1" s="154"/>
      <c r="AB1" s="155"/>
    </row>
    <row r="2" spans="1:28" x14ac:dyDescent="0.2">
      <c r="A2" s="156">
        <v>0</v>
      </c>
      <c r="B2" s="157" t="s">
        <v>44</v>
      </c>
      <c r="C2" s="151"/>
      <c r="D2" s="158"/>
      <c r="E2" s="151"/>
      <c r="F2" s="151"/>
      <c r="G2" s="159" t="s">
        <v>37</v>
      </c>
      <c r="H2" s="151"/>
      <c r="I2" s="151"/>
      <c r="J2" s="151"/>
      <c r="K2" s="151"/>
      <c r="L2" s="151"/>
      <c r="M2" s="151"/>
      <c r="N2" s="151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</row>
    <row r="3" spans="1:28" x14ac:dyDescent="0.2">
      <c r="A3" s="151"/>
      <c r="B3" s="161"/>
      <c r="C3" s="151"/>
      <c r="D3" s="158"/>
      <c r="E3" s="151"/>
      <c r="F3" s="151"/>
      <c r="G3" s="162" t="s">
        <v>1</v>
      </c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</row>
    <row r="4" spans="1:28" x14ac:dyDescent="0.2">
      <c r="A4" s="151"/>
      <c r="B4" s="164"/>
      <c r="C4" s="151"/>
      <c r="D4" s="151"/>
      <c r="E4" s="151"/>
      <c r="F4" s="151"/>
      <c r="G4" s="165" t="s">
        <v>121</v>
      </c>
      <c r="H4" s="166">
        <v>0</v>
      </c>
      <c r="I4" s="166">
        <f>H4+H5+H6</f>
        <v>2</v>
      </c>
      <c r="J4" s="166">
        <f t="shared" ref="J4:AB4" si="0">I4+I5+I6</f>
        <v>2</v>
      </c>
      <c r="K4" s="166">
        <f t="shared" si="0"/>
        <v>22</v>
      </c>
      <c r="L4" s="166">
        <f t="shared" si="0"/>
        <v>72</v>
      </c>
      <c r="M4" s="166">
        <f t="shared" si="0"/>
        <v>142</v>
      </c>
      <c r="N4" s="166">
        <f t="shared" si="0"/>
        <v>212</v>
      </c>
      <c r="O4" s="166">
        <f t="shared" si="0"/>
        <v>242</v>
      </c>
      <c r="P4" s="166">
        <f t="shared" si="0"/>
        <v>342</v>
      </c>
      <c r="Q4" s="166">
        <f t="shared" si="0"/>
        <v>442</v>
      </c>
      <c r="R4" s="166">
        <f t="shared" si="0"/>
        <v>542</v>
      </c>
      <c r="S4" s="166">
        <f t="shared" si="0"/>
        <v>642</v>
      </c>
      <c r="T4" s="166">
        <f t="shared" si="0"/>
        <v>742</v>
      </c>
      <c r="U4" s="166">
        <f t="shared" si="0"/>
        <v>752</v>
      </c>
      <c r="V4" s="166">
        <f t="shared" si="0"/>
        <v>754</v>
      </c>
      <c r="W4" s="166">
        <f t="shared" si="0"/>
        <v>756</v>
      </c>
      <c r="X4" s="166">
        <f t="shared" si="0"/>
        <v>781</v>
      </c>
      <c r="Y4" s="166">
        <f t="shared" si="0"/>
        <v>881</v>
      </c>
      <c r="Z4" s="166">
        <f t="shared" si="0"/>
        <v>981</v>
      </c>
      <c r="AA4" s="166">
        <f t="shared" si="0"/>
        <v>1081</v>
      </c>
      <c r="AB4" s="166">
        <f t="shared" si="0"/>
        <v>1181</v>
      </c>
    </row>
    <row r="5" spans="1:28" x14ac:dyDescent="0.2">
      <c r="A5" s="151"/>
      <c r="B5" s="164"/>
      <c r="C5" s="151"/>
      <c r="D5" s="151"/>
      <c r="E5" s="152"/>
      <c r="F5" s="151"/>
      <c r="G5" s="167" t="s">
        <v>2</v>
      </c>
      <c r="H5" s="168">
        <v>2</v>
      </c>
      <c r="I5" s="168">
        <v>0</v>
      </c>
      <c r="J5" s="168">
        <v>20</v>
      </c>
      <c r="K5" s="168">
        <v>50</v>
      </c>
      <c r="L5" s="168">
        <v>70</v>
      </c>
      <c r="M5" s="168">
        <v>70</v>
      </c>
      <c r="N5" s="168">
        <v>30</v>
      </c>
      <c r="O5" s="168">
        <v>100</v>
      </c>
      <c r="P5" s="168">
        <v>100</v>
      </c>
      <c r="Q5" s="168">
        <v>100</v>
      </c>
      <c r="R5" s="168">
        <v>100</v>
      </c>
      <c r="S5" s="168">
        <v>100</v>
      </c>
      <c r="T5" s="168">
        <v>10</v>
      </c>
      <c r="U5" s="168">
        <v>2</v>
      </c>
      <c r="V5" s="168">
        <v>2</v>
      </c>
      <c r="W5" s="168">
        <v>25</v>
      </c>
      <c r="X5" s="168">
        <v>100</v>
      </c>
      <c r="Y5" s="168">
        <v>100</v>
      </c>
      <c r="Z5" s="168">
        <v>100</v>
      </c>
      <c r="AA5" s="168">
        <v>100</v>
      </c>
      <c r="AB5" s="168">
        <v>100</v>
      </c>
    </row>
    <row r="6" spans="1:28" x14ac:dyDescent="0.2">
      <c r="A6" s="151"/>
      <c r="B6" s="164"/>
      <c r="C6" s="151"/>
      <c r="D6" s="151"/>
      <c r="E6" s="152"/>
      <c r="F6" s="151"/>
      <c r="G6" s="169" t="s">
        <v>3</v>
      </c>
      <c r="H6" s="168">
        <v>0</v>
      </c>
      <c r="I6" s="168">
        <v>0</v>
      </c>
      <c r="J6" s="168">
        <v>0</v>
      </c>
      <c r="K6" s="168">
        <v>0</v>
      </c>
      <c r="L6" s="168">
        <v>0</v>
      </c>
      <c r="M6" s="168">
        <v>0</v>
      </c>
      <c r="N6" s="168">
        <v>0</v>
      </c>
      <c r="O6" s="168">
        <v>0</v>
      </c>
      <c r="P6" s="168">
        <v>0</v>
      </c>
      <c r="Q6" s="168">
        <v>0</v>
      </c>
      <c r="R6" s="168">
        <v>0</v>
      </c>
      <c r="S6" s="168">
        <v>0</v>
      </c>
      <c r="T6" s="168">
        <v>0</v>
      </c>
      <c r="U6" s="168">
        <v>0</v>
      </c>
      <c r="V6" s="168">
        <v>0</v>
      </c>
      <c r="W6" s="168">
        <v>0</v>
      </c>
      <c r="X6" s="168">
        <v>0</v>
      </c>
      <c r="Y6" s="168">
        <v>0</v>
      </c>
      <c r="Z6" s="168">
        <v>0</v>
      </c>
      <c r="AA6" s="168">
        <v>0</v>
      </c>
      <c r="AB6" s="168">
        <v>0</v>
      </c>
    </row>
    <row r="7" spans="1:28" x14ac:dyDescent="0.2">
      <c r="A7" s="170" t="s">
        <v>4</v>
      </c>
      <c r="B7" s="171" t="s">
        <v>5</v>
      </c>
      <c r="C7" s="170"/>
      <c r="D7" s="172" t="s">
        <v>122</v>
      </c>
      <c r="E7" s="173" t="s">
        <v>32</v>
      </c>
      <c r="F7" s="174" t="s">
        <v>33</v>
      </c>
      <c r="G7" s="175" t="s">
        <v>34</v>
      </c>
      <c r="H7" s="176">
        <v>0</v>
      </c>
      <c r="I7" s="176">
        <v>1</v>
      </c>
      <c r="J7" s="176">
        <v>0</v>
      </c>
      <c r="K7" s="176">
        <v>0</v>
      </c>
      <c r="L7" s="176">
        <v>0</v>
      </c>
      <c r="M7" s="176">
        <v>0</v>
      </c>
      <c r="N7" s="176">
        <v>2</v>
      </c>
      <c r="O7" s="176">
        <v>0</v>
      </c>
      <c r="P7" s="176">
        <v>0</v>
      </c>
      <c r="Q7" s="176">
        <v>0</v>
      </c>
      <c r="R7" s="176">
        <v>0</v>
      </c>
      <c r="S7" s="176">
        <v>0</v>
      </c>
      <c r="T7" s="176">
        <v>2</v>
      </c>
      <c r="U7" s="176">
        <v>0</v>
      </c>
      <c r="V7" s="176">
        <v>0</v>
      </c>
      <c r="W7" s="176">
        <v>0</v>
      </c>
      <c r="X7" s="176">
        <v>0</v>
      </c>
      <c r="Y7" s="176">
        <v>0</v>
      </c>
      <c r="Z7" s="176">
        <v>0</v>
      </c>
      <c r="AA7" s="176">
        <v>0</v>
      </c>
      <c r="AB7" s="176">
        <v>0</v>
      </c>
    </row>
    <row r="8" spans="1:28" s="145" customFormat="1" x14ac:dyDescent="0.2">
      <c r="A8" s="139" t="s">
        <v>96</v>
      </c>
      <c r="B8" s="177">
        <v>1</v>
      </c>
      <c r="C8" s="178">
        <v>0</v>
      </c>
      <c r="D8" s="179" t="s">
        <v>45</v>
      </c>
      <c r="E8" s="180">
        <v>1</v>
      </c>
      <c r="F8" s="181">
        <v>0</v>
      </c>
      <c r="G8" s="181">
        <v>1</v>
      </c>
      <c r="H8" s="181">
        <v>0</v>
      </c>
      <c r="I8" s="181">
        <v>0</v>
      </c>
      <c r="J8" s="181">
        <v>0</v>
      </c>
      <c r="K8" s="181">
        <v>0</v>
      </c>
      <c r="L8" s="181">
        <v>0</v>
      </c>
      <c r="M8" s="181">
        <v>0</v>
      </c>
      <c r="N8" s="181">
        <v>0</v>
      </c>
      <c r="O8" s="181">
        <v>0</v>
      </c>
      <c r="P8" s="181">
        <v>0</v>
      </c>
      <c r="Q8" s="181">
        <v>0</v>
      </c>
      <c r="R8" s="181">
        <v>0</v>
      </c>
      <c r="S8" s="181">
        <v>0</v>
      </c>
      <c r="T8" s="181">
        <v>0</v>
      </c>
      <c r="U8" s="181">
        <v>0</v>
      </c>
      <c r="V8" s="181">
        <v>0</v>
      </c>
      <c r="W8" s="181">
        <v>0</v>
      </c>
      <c r="X8" s="181">
        <v>0</v>
      </c>
      <c r="Y8" s="181">
        <v>0</v>
      </c>
      <c r="Z8" s="181">
        <v>0</v>
      </c>
      <c r="AA8" s="181">
        <v>0</v>
      </c>
      <c r="AB8" s="181">
        <v>0</v>
      </c>
    </row>
    <row r="9" spans="1:28" x14ac:dyDescent="0.2">
      <c r="A9" s="122" t="s">
        <v>97</v>
      </c>
      <c r="B9" s="182">
        <v>4</v>
      </c>
      <c r="C9" s="183">
        <v>0</v>
      </c>
      <c r="D9" s="184">
        <v>1</v>
      </c>
      <c r="E9" s="185">
        <v>0</v>
      </c>
      <c r="F9" s="186">
        <v>50</v>
      </c>
      <c r="G9" s="186">
        <v>0</v>
      </c>
      <c r="H9" s="186">
        <v>0</v>
      </c>
      <c r="I9" s="186">
        <v>0</v>
      </c>
      <c r="J9" s="186">
        <v>10</v>
      </c>
      <c r="K9" s="186">
        <v>0</v>
      </c>
      <c r="L9" s="186">
        <v>-15</v>
      </c>
      <c r="M9" s="186">
        <v>-20</v>
      </c>
      <c r="N9" s="186">
        <v>0</v>
      </c>
      <c r="O9" s="186">
        <v>0</v>
      </c>
      <c r="P9" s="186">
        <v>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6">
        <v>0</v>
      </c>
      <c r="X9" s="186">
        <v>0</v>
      </c>
      <c r="Y9" s="186">
        <v>0</v>
      </c>
      <c r="Z9" s="186">
        <v>0</v>
      </c>
      <c r="AA9" s="186">
        <v>0</v>
      </c>
      <c r="AB9" s="186">
        <v>0</v>
      </c>
    </row>
    <row r="10" spans="1:28" x14ac:dyDescent="0.2">
      <c r="A10" s="122" t="s">
        <v>98</v>
      </c>
      <c r="B10" s="187">
        <v>16</v>
      </c>
      <c r="C10" s="183">
        <v>0</v>
      </c>
      <c r="D10" s="184">
        <v>2</v>
      </c>
      <c r="E10" s="185">
        <v>0</v>
      </c>
      <c r="F10" s="186">
        <v>5</v>
      </c>
      <c r="G10" s="186">
        <v>0</v>
      </c>
      <c r="H10" s="186">
        <v>0</v>
      </c>
      <c r="I10" s="186">
        <v>0</v>
      </c>
      <c r="J10" s="186">
        <v>0</v>
      </c>
      <c r="K10" s="186">
        <v>0</v>
      </c>
      <c r="L10" s="186">
        <v>10</v>
      </c>
      <c r="M10" s="186">
        <v>20</v>
      </c>
      <c r="N10" s="186">
        <v>0</v>
      </c>
      <c r="O10" s="186">
        <v>0</v>
      </c>
      <c r="P10" s="186">
        <v>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6">
        <v>0</v>
      </c>
      <c r="X10" s="186">
        <v>0</v>
      </c>
      <c r="Y10" s="186">
        <v>0</v>
      </c>
      <c r="Z10" s="186">
        <v>0</v>
      </c>
      <c r="AA10" s="186">
        <v>0</v>
      </c>
      <c r="AB10" s="186">
        <v>0</v>
      </c>
    </row>
    <row r="11" spans="1:28" x14ac:dyDescent="0.2">
      <c r="A11" s="122" t="s">
        <v>99</v>
      </c>
      <c r="B11" s="187">
        <v>18</v>
      </c>
      <c r="C11" s="183">
        <v>0</v>
      </c>
      <c r="D11" s="184">
        <v>3</v>
      </c>
      <c r="E11" s="185">
        <v>1</v>
      </c>
      <c r="F11" s="186">
        <v>125</v>
      </c>
      <c r="G11" s="186">
        <v>0</v>
      </c>
      <c r="H11" s="186">
        <v>0</v>
      </c>
      <c r="I11" s="186">
        <v>0</v>
      </c>
      <c r="J11" s="186">
        <v>0</v>
      </c>
      <c r="K11" s="186">
        <v>-90</v>
      </c>
      <c r="L11" s="186">
        <v>-110</v>
      </c>
      <c r="M11" s="186">
        <v>0</v>
      </c>
      <c r="N11" s="186">
        <v>0</v>
      </c>
      <c r="O11" s="186">
        <v>0</v>
      </c>
      <c r="P11" s="186">
        <v>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6">
        <v>0</v>
      </c>
      <c r="X11" s="186">
        <v>0</v>
      </c>
      <c r="Y11" s="186">
        <v>0</v>
      </c>
      <c r="Z11" s="186">
        <v>0</v>
      </c>
      <c r="AA11" s="186">
        <v>0</v>
      </c>
      <c r="AB11" s="186">
        <v>0</v>
      </c>
    </row>
    <row r="12" spans="1:28" x14ac:dyDescent="0.2">
      <c r="A12" s="122" t="s">
        <v>100</v>
      </c>
      <c r="B12" s="187">
        <v>17</v>
      </c>
      <c r="C12" s="183">
        <v>0</v>
      </c>
      <c r="D12" s="184">
        <v>4</v>
      </c>
      <c r="E12" s="185">
        <v>0</v>
      </c>
      <c r="F12" s="186">
        <v>125</v>
      </c>
      <c r="G12" s="186">
        <v>0</v>
      </c>
      <c r="H12" s="186">
        <v>0</v>
      </c>
      <c r="I12" s="186">
        <v>0</v>
      </c>
      <c r="J12" s="186">
        <v>0</v>
      </c>
      <c r="K12" s="186">
        <v>-100</v>
      </c>
      <c r="L12" s="186">
        <v>-120</v>
      </c>
      <c r="M12" s="186">
        <v>0</v>
      </c>
      <c r="N12" s="186">
        <v>0</v>
      </c>
      <c r="O12" s="186">
        <v>0</v>
      </c>
      <c r="P12" s="186">
        <v>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6">
        <v>0</v>
      </c>
      <c r="X12" s="186">
        <v>0</v>
      </c>
      <c r="Y12" s="186">
        <v>0</v>
      </c>
      <c r="Z12" s="186">
        <v>0</v>
      </c>
      <c r="AA12" s="186">
        <v>0</v>
      </c>
      <c r="AB12" s="186">
        <v>0</v>
      </c>
    </row>
    <row r="13" spans="1:28" x14ac:dyDescent="0.2">
      <c r="A13" s="129" t="s">
        <v>101</v>
      </c>
      <c r="B13" s="188">
        <v>5</v>
      </c>
      <c r="C13" s="189">
        <v>0</v>
      </c>
      <c r="D13" s="190">
        <v>1</v>
      </c>
      <c r="E13" s="191">
        <f t="shared" ref="E13:E16" si="1">IF(E9=0,1,0)</f>
        <v>1</v>
      </c>
      <c r="F13" s="192">
        <v>50</v>
      </c>
      <c r="G13" s="192">
        <f>G9</f>
        <v>0</v>
      </c>
      <c r="H13" s="192">
        <v>0</v>
      </c>
      <c r="I13" s="192">
        <v>0</v>
      </c>
      <c r="J13" s="192">
        <f>J9</f>
        <v>10</v>
      </c>
      <c r="K13" s="192">
        <f t="shared" ref="K13:N13" si="2">K9</f>
        <v>0</v>
      </c>
      <c r="L13" s="192">
        <f t="shared" si="2"/>
        <v>-15</v>
      </c>
      <c r="M13" s="192">
        <f t="shared" si="2"/>
        <v>-20</v>
      </c>
      <c r="N13" s="192">
        <f t="shared" si="2"/>
        <v>0</v>
      </c>
      <c r="O13" s="192">
        <v>0</v>
      </c>
      <c r="P13" s="192">
        <v>0</v>
      </c>
      <c r="Q13" s="192">
        <v>0</v>
      </c>
      <c r="R13" s="192">
        <v>0</v>
      </c>
      <c r="S13" s="192">
        <v>0</v>
      </c>
      <c r="T13" s="192">
        <v>0</v>
      </c>
      <c r="U13" s="192">
        <v>0</v>
      </c>
      <c r="V13" s="192">
        <v>0</v>
      </c>
      <c r="W13" s="192">
        <v>0</v>
      </c>
      <c r="X13" s="192">
        <v>0</v>
      </c>
      <c r="Y13" s="192">
        <v>0</v>
      </c>
      <c r="Z13" s="192">
        <v>0</v>
      </c>
      <c r="AA13" s="192">
        <v>0</v>
      </c>
      <c r="AB13" s="192">
        <v>0</v>
      </c>
    </row>
    <row r="14" spans="1:28" x14ac:dyDescent="0.2">
      <c r="A14" s="129" t="s">
        <v>102</v>
      </c>
      <c r="B14" s="188">
        <v>19</v>
      </c>
      <c r="C14" s="189">
        <v>0</v>
      </c>
      <c r="D14" s="190">
        <v>2</v>
      </c>
      <c r="E14" s="191">
        <f t="shared" si="1"/>
        <v>1</v>
      </c>
      <c r="F14" s="192">
        <v>5</v>
      </c>
      <c r="G14" s="192">
        <f t="shared" ref="G14:G16" si="3">G10</f>
        <v>0</v>
      </c>
      <c r="H14" s="192">
        <v>0</v>
      </c>
      <c r="I14" s="192">
        <v>0</v>
      </c>
      <c r="J14" s="192">
        <f t="shared" ref="J14:N14" si="4">J10</f>
        <v>0</v>
      </c>
      <c r="K14" s="192">
        <f t="shared" si="4"/>
        <v>0</v>
      </c>
      <c r="L14" s="192">
        <f t="shared" si="4"/>
        <v>10</v>
      </c>
      <c r="M14" s="192">
        <f t="shared" si="4"/>
        <v>20</v>
      </c>
      <c r="N14" s="192">
        <f t="shared" si="4"/>
        <v>0</v>
      </c>
      <c r="O14" s="192">
        <v>0</v>
      </c>
      <c r="P14" s="192">
        <v>0</v>
      </c>
      <c r="Q14" s="192">
        <v>0</v>
      </c>
      <c r="R14" s="192">
        <v>0</v>
      </c>
      <c r="S14" s="192">
        <v>0</v>
      </c>
      <c r="T14" s="192">
        <v>0</v>
      </c>
      <c r="U14" s="192">
        <v>0</v>
      </c>
      <c r="V14" s="192">
        <v>0</v>
      </c>
      <c r="W14" s="192">
        <v>0</v>
      </c>
      <c r="X14" s="192">
        <v>0</v>
      </c>
      <c r="Y14" s="192">
        <v>0</v>
      </c>
      <c r="Z14" s="192">
        <v>0</v>
      </c>
      <c r="AA14" s="192">
        <v>0</v>
      </c>
      <c r="AB14" s="192">
        <v>0</v>
      </c>
    </row>
    <row r="15" spans="1:28" x14ac:dyDescent="0.2">
      <c r="A15" s="129" t="s">
        <v>103</v>
      </c>
      <c r="B15" s="188">
        <v>21</v>
      </c>
      <c r="C15" s="189">
        <v>0</v>
      </c>
      <c r="D15" s="190">
        <v>3</v>
      </c>
      <c r="E15" s="191">
        <f t="shared" si="1"/>
        <v>0</v>
      </c>
      <c r="F15" s="192">
        <v>125</v>
      </c>
      <c r="G15" s="192">
        <f t="shared" si="3"/>
        <v>0</v>
      </c>
      <c r="H15" s="192">
        <v>0</v>
      </c>
      <c r="I15" s="192">
        <v>0</v>
      </c>
      <c r="J15" s="192">
        <f t="shared" ref="J15:N15" si="5">J11</f>
        <v>0</v>
      </c>
      <c r="K15" s="192">
        <f t="shared" si="5"/>
        <v>-90</v>
      </c>
      <c r="L15" s="192">
        <f t="shared" si="5"/>
        <v>-110</v>
      </c>
      <c r="M15" s="192">
        <f t="shared" si="5"/>
        <v>0</v>
      </c>
      <c r="N15" s="192">
        <f t="shared" si="5"/>
        <v>0</v>
      </c>
      <c r="O15" s="192">
        <v>0</v>
      </c>
      <c r="P15" s="192">
        <v>0</v>
      </c>
      <c r="Q15" s="192">
        <v>0</v>
      </c>
      <c r="R15" s="192">
        <v>0</v>
      </c>
      <c r="S15" s="192">
        <v>0</v>
      </c>
      <c r="T15" s="192">
        <v>0</v>
      </c>
      <c r="U15" s="192">
        <v>0</v>
      </c>
      <c r="V15" s="192">
        <v>0</v>
      </c>
      <c r="W15" s="192">
        <v>0</v>
      </c>
      <c r="X15" s="192">
        <v>0</v>
      </c>
      <c r="Y15" s="192">
        <v>0</v>
      </c>
      <c r="Z15" s="192">
        <v>0</v>
      </c>
      <c r="AA15" s="192">
        <v>0</v>
      </c>
      <c r="AB15" s="192">
        <v>0</v>
      </c>
    </row>
    <row r="16" spans="1:28" x14ac:dyDescent="0.2">
      <c r="A16" s="129" t="s">
        <v>104</v>
      </c>
      <c r="B16" s="188">
        <v>20</v>
      </c>
      <c r="C16" s="189">
        <v>0</v>
      </c>
      <c r="D16" s="190">
        <v>4</v>
      </c>
      <c r="E16" s="191">
        <f t="shared" si="1"/>
        <v>1</v>
      </c>
      <c r="F16" s="192">
        <v>125</v>
      </c>
      <c r="G16" s="192">
        <f t="shared" si="3"/>
        <v>0</v>
      </c>
      <c r="H16" s="192">
        <v>0</v>
      </c>
      <c r="I16" s="192">
        <v>0</v>
      </c>
      <c r="J16" s="192">
        <f t="shared" ref="J16:N16" si="6">J12</f>
        <v>0</v>
      </c>
      <c r="K16" s="192">
        <f t="shared" si="6"/>
        <v>-100</v>
      </c>
      <c r="L16" s="192">
        <f t="shared" si="6"/>
        <v>-120</v>
      </c>
      <c r="M16" s="192">
        <f t="shared" si="6"/>
        <v>0</v>
      </c>
      <c r="N16" s="192">
        <f t="shared" si="6"/>
        <v>0</v>
      </c>
      <c r="O16" s="192">
        <v>0</v>
      </c>
      <c r="P16" s="192">
        <v>0</v>
      </c>
      <c r="Q16" s="192">
        <v>0</v>
      </c>
      <c r="R16" s="192">
        <v>0</v>
      </c>
      <c r="S16" s="192">
        <v>0</v>
      </c>
      <c r="T16" s="192">
        <v>0</v>
      </c>
      <c r="U16" s="192">
        <v>0</v>
      </c>
      <c r="V16" s="192">
        <v>0</v>
      </c>
      <c r="W16" s="192">
        <v>0</v>
      </c>
      <c r="X16" s="192">
        <v>0</v>
      </c>
      <c r="Y16" s="192">
        <v>0</v>
      </c>
      <c r="Z16" s="192">
        <v>0</v>
      </c>
      <c r="AA16" s="192">
        <v>0</v>
      </c>
      <c r="AB16" s="192">
        <v>0</v>
      </c>
    </row>
    <row r="17" spans="1:28" x14ac:dyDescent="0.2">
      <c r="A17" s="122" t="s">
        <v>105</v>
      </c>
      <c r="B17" s="187">
        <v>2</v>
      </c>
      <c r="C17" s="183">
        <v>0</v>
      </c>
      <c r="D17" s="184">
        <v>5</v>
      </c>
      <c r="E17" s="185">
        <v>1</v>
      </c>
      <c r="F17" s="186">
        <v>10</v>
      </c>
      <c r="G17" s="186">
        <v>-1</v>
      </c>
      <c r="H17" s="186">
        <v>0</v>
      </c>
      <c r="I17" s="186">
        <v>0</v>
      </c>
      <c r="J17" s="186">
        <v>10</v>
      </c>
      <c r="K17" s="186">
        <v>5</v>
      </c>
      <c r="L17" s="186">
        <v>5</v>
      </c>
      <c r="M17" s="186">
        <v>-5</v>
      </c>
      <c r="N17" s="186">
        <v>0</v>
      </c>
      <c r="O17" s="186">
        <v>0</v>
      </c>
      <c r="P17" s="186">
        <v>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6">
        <v>0</v>
      </c>
      <c r="X17" s="186">
        <v>0</v>
      </c>
      <c r="Y17" s="186">
        <v>0</v>
      </c>
      <c r="Z17" s="186">
        <v>0</v>
      </c>
      <c r="AA17" s="186">
        <v>0</v>
      </c>
      <c r="AB17" s="186">
        <v>0</v>
      </c>
    </row>
    <row r="18" spans="1:28" x14ac:dyDescent="0.2">
      <c r="A18" s="122" t="s">
        <v>106</v>
      </c>
      <c r="B18" s="187">
        <v>6</v>
      </c>
      <c r="C18" s="183">
        <v>0</v>
      </c>
      <c r="D18" s="184">
        <v>6</v>
      </c>
      <c r="E18" s="185">
        <v>0</v>
      </c>
      <c r="F18" s="186">
        <v>5</v>
      </c>
      <c r="G18" s="186">
        <v>-1</v>
      </c>
      <c r="H18" s="186">
        <v>0</v>
      </c>
      <c r="I18" s="186">
        <v>0</v>
      </c>
      <c r="J18" s="186">
        <v>0</v>
      </c>
      <c r="K18" s="186">
        <v>30</v>
      </c>
      <c r="L18" s="186">
        <v>30</v>
      </c>
      <c r="M18" s="186">
        <v>0</v>
      </c>
      <c r="N18" s="186">
        <v>0</v>
      </c>
      <c r="O18" s="186">
        <v>0</v>
      </c>
      <c r="P18" s="186">
        <v>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6">
        <v>0</v>
      </c>
      <c r="X18" s="186">
        <v>0</v>
      </c>
      <c r="Y18" s="186">
        <v>0</v>
      </c>
      <c r="Z18" s="186">
        <v>0</v>
      </c>
      <c r="AA18" s="186">
        <v>0</v>
      </c>
      <c r="AB18" s="186">
        <v>0</v>
      </c>
    </row>
    <row r="19" spans="1:28" x14ac:dyDescent="0.2">
      <c r="A19" s="122" t="s">
        <v>113</v>
      </c>
      <c r="B19" s="187">
        <v>7</v>
      </c>
      <c r="C19" s="183">
        <v>0</v>
      </c>
      <c r="D19" s="184">
        <v>7</v>
      </c>
      <c r="E19" s="185">
        <v>0</v>
      </c>
      <c r="F19" s="186">
        <v>6</v>
      </c>
      <c r="G19" s="186">
        <v>-1</v>
      </c>
      <c r="H19" s="186">
        <v>0</v>
      </c>
      <c r="I19" s="186">
        <v>0</v>
      </c>
      <c r="J19" s="186">
        <v>-35</v>
      </c>
      <c r="K19" s="186">
        <v>-35</v>
      </c>
      <c r="L19" s="186">
        <v>-30</v>
      </c>
      <c r="M19" s="186">
        <v>-35</v>
      </c>
      <c r="N19" s="186">
        <v>0</v>
      </c>
      <c r="O19" s="186">
        <v>0</v>
      </c>
      <c r="P19" s="186">
        <v>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6">
        <v>0</v>
      </c>
      <c r="X19" s="186">
        <v>0</v>
      </c>
      <c r="Y19" s="186">
        <v>0</v>
      </c>
      <c r="Z19" s="186">
        <v>0</v>
      </c>
      <c r="AA19" s="186">
        <v>0</v>
      </c>
      <c r="AB19" s="186">
        <v>0</v>
      </c>
    </row>
    <row r="20" spans="1:28" x14ac:dyDescent="0.2">
      <c r="A20" s="122" t="s">
        <v>107</v>
      </c>
      <c r="B20" s="182">
        <v>8</v>
      </c>
      <c r="C20" s="183">
        <v>0</v>
      </c>
      <c r="D20" s="184">
        <v>8</v>
      </c>
      <c r="E20" s="185">
        <v>1</v>
      </c>
      <c r="F20" s="186">
        <v>11</v>
      </c>
      <c r="G20" s="186">
        <v>-1</v>
      </c>
      <c r="H20" s="186">
        <v>0</v>
      </c>
      <c r="I20" s="186">
        <v>0</v>
      </c>
      <c r="J20" s="186">
        <v>-30</v>
      </c>
      <c r="K20" s="186">
        <v>-30</v>
      </c>
      <c r="L20" s="186">
        <v>-25</v>
      </c>
      <c r="M20" s="186">
        <v>-30</v>
      </c>
      <c r="N20" s="186">
        <v>0</v>
      </c>
      <c r="O20" s="186">
        <v>0</v>
      </c>
      <c r="P20" s="186">
        <v>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6">
        <v>0</v>
      </c>
      <c r="X20" s="186">
        <v>0</v>
      </c>
      <c r="Y20" s="186">
        <v>0</v>
      </c>
      <c r="Z20" s="186">
        <v>0</v>
      </c>
      <c r="AA20" s="186">
        <v>0</v>
      </c>
      <c r="AB20" s="186">
        <v>0</v>
      </c>
    </row>
    <row r="21" spans="1:28" x14ac:dyDescent="0.2">
      <c r="A21" s="122" t="s">
        <v>108</v>
      </c>
      <c r="B21" s="187">
        <v>9</v>
      </c>
      <c r="C21" s="183">
        <v>0</v>
      </c>
      <c r="D21" s="184">
        <v>9</v>
      </c>
      <c r="E21" s="185">
        <v>1</v>
      </c>
      <c r="F21" s="186">
        <v>-9.5</v>
      </c>
      <c r="G21" s="186">
        <v>0.5</v>
      </c>
      <c r="H21" s="186">
        <v>0</v>
      </c>
      <c r="I21" s="186">
        <v>0</v>
      </c>
      <c r="J21" s="186">
        <v>-10</v>
      </c>
      <c r="K21" s="186">
        <v>-10</v>
      </c>
      <c r="L21" s="186">
        <v>-10</v>
      </c>
      <c r="M21" s="186">
        <v>5</v>
      </c>
      <c r="N21" s="186">
        <v>0</v>
      </c>
      <c r="O21" s="186">
        <v>0</v>
      </c>
      <c r="P21" s="186">
        <v>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6">
        <v>0</v>
      </c>
      <c r="X21" s="186">
        <v>0</v>
      </c>
      <c r="Y21" s="186">
        <v>0</v>
      </c>
      <c r="Z21" s="186">
        <v>0</v>
      </c>
      <c r="AA21" s="186">
        <v>0</v>
      </c>
      <c r="AB21" s="186">
        <v>0</v>
      </c>
    </row>
    <row r="22" spans="1:28" x14ac:dyDescent="0.2">
      <c r="A22" s="122" t="s">
        <v>109</v>
      </c>
      <c r="B22" s="187">
        <v>10</v>
      </c>
      <c r="C22" s="183">
        <v>0</v>
      </c>
      <c r="D22" s="184">
        <v>10</v>
      </c>
      <c r="E22" s="185">
        <v>0</v>
      </c>
      <c r="F22" s="186">
        <v>-2</v>
      </c>
      <c r="G22" s="186">
        <v>0</v>
      </c>
      <c r="H22" s="186">
        <v>0</v>
      </c>
      <c r="I22" s="186">
        <v>0</v>
      </c>
      <c r="J22" s="186">
        <v>0</v>
      </c>
      <c r="K22" s="186">
        <v>5</v>
      </c>
      <c r="L22" s="186">
        <v>5</v>
      </c>
      <c r="M22" s="186">
        <v>0</v>
      </c>
      <c r="N22" s="186">
        <v>0</v>
      </c>
      <c r="O22" s="186">
        <v>0</v>
      </c>
      <c r="P22" s="186">
        <v>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6">
        <v>0</v>
      </c>
      <c r="X22" s="186">
        <v>0</v>
      </c>
      <c r="Y22" s="186">
        <v>0</v>
      </c>
      <c r="Z22" s="186">
        <v>0</v>
      </c>
      <c r="AA22" s="186">
        <v>0</v>
      </c>
      <c r="AB22" s="186">
        <v>0</v>
      </c>
    </row>
    <row r="23" spans="1:28" s="135" customFormat="1" x14ac:dyDescent="0.2">
      <c r="A23" s="129" t="s">
        <v>116</v>
      </c>
      <c r="B23" s="188">
        <v>3</v>
      </c>
      <c r="C23" s="189">
        <v>0</v>
      </c>
      <c r="D23" s="190">
        <v>5</v>
      </c>
      <c r="E23" s="191">
        <f>E17</f>
        <v>1</v>
      </c>
      <c r="F23" s="192">
        <v>10</v>
      </c>
      <c r="G23" s="192">
        <v>1</v>
      </c>
      <c r="H23" s="192">
        <v>0</v>
      </c>
      <c r="I23" s="192">
        <v>0</v>
      </c>
      <c r="J23" s="192">
        <v>10</v>
      </c>
      <c r="K23" s="192">
        <v>5</v>
      </c>
      <c r="L23" s="192">
        <v>5</v>
      </c>
      <c r="M23" s="192">
        <v>-5</v>
      </c>
      <c r="N23" s="192">
        <v>0</v>
      </c>
      <c r="O23" s="192">
        <v>0</v>
      </c>
      <c r="P23" s="192">
        <v>0</v>
      </c>
      <c r="Q23" s="192">
        <v>0</v>
      </c>
      <c r="R23" s="192">
        <v>0</v>
      </c>
      <c r="S23" s="192">
        <v>0</v>
      </c>
      <c r="T23" s="192">
        <v>0</v>
      </c>
      <c r="U23" s="192">
        <v>0</v>
      </c>
      <c r="V23" s="192">
        <v>0</v>
      </c>
      <c r="W23" s="192">
        <v>0</v>
      </c>
      <c r="X23" s="192">
        <v>0</v>
      </c>
      <c r="Y23" s="192">
        <v>0</v>
      </c>
      <c r="Z23" s="192">
        <v>0</v>
      </c>
      <c r="AA23" s="192">
        <v>0</v>
      </c>
      <c r="AB23" s="192">
        <v>0</v>
      </c>
    </row>
    <row r="24" spans="1:28" s="135" customFormat="1" x14ac:dyDescent="0.2">
      <c r="A24" s="129" t="s">
        <v>115</v>
      </c>
      <c r="B24" s="188">
        <v>11</v>
      </c>
      <c r="C24" s="189">
        <v>0</v>
      </c>
      <c r="D24" s="190">
        <v>6</v>
      </c>
      <c r="E24" s="191">
        <f>IF(E18=0,1,0)</f>
        <v>1</v>
      </c>
      <c r="F24" s="192">
        <v>5</v>
      </c>
      <c r="G24" s="192">
        <v>1</v>
      </c>
      <c r="H24" s="192">
        <v>0</v>
      </c>
      <c r="I24" s="192">
        <v>0</v>
      </c>
      <c r="J24" s="192">
        <v>0</v>
      </c>
      <c r="K24" s="192">
        <v>30</v>
      </c>
      <c r="L24" s="192">
        <v>30</v>
      </c>
      <c r="M24" s="192">
        <v>0</v>
      </c>
      <c r="N24" s="192">
        <v>0</v>
      </c>
      <c r="O24" s="192">
        <v>0</v>
      </c>
      <c r="P24" s="192">
        <v>0</v>
      </c>
      <c r="Q24" s="192">
        <v>0</v>
      </c>
      <c r="R24" s="192">
        <v>0</v>
      </c>
      <c r="S24" s="192">
        <v>0</v>
      </c>
      <c r="T24" s="192">
        <v>0</v>
      </c>
      <c r="U24" s="192">
        <v>0</v>
      </c>
      <c r="V24" s="192">
        <v>0</v>
      </c>
      <c r="W24" s="192">
        <v>0</v>
      </c>
      <c r="X24" s="192">
        <v>0</v>
      </c>
      <c r="Y24" s="192">
        <v>0</v>
      </c>
      <c r="Z24" s="192">
        <v>0</v>
      </c>
      <c r="AA24" s="192">
        <v>0</v>
      </c>
      <c r="AB24" s="192">
        <v>0</v>
      </c>
    </row>
    <row r="25" spans="1:28" s="135" customFormat="1" x14ac:dyDescent="0.2">
      <c r="A25" s="129" t="s">
        <v>114</v>
      </c>
      <c r="B25" s="188">
        <v>12</v>
      </c>
      <c r="C25" s="189">
        <v>0</v>
      </c>
      <c r="D25" s="190">
        <v>7</v>
      </c>
      <c r="E25" s="191">
        <f>IF(E19=0,1,0)</f>
        <v>1</v>
      </c>
      <c r="F25" s="192">
        <v>6</v>
      </c>
      <c r="G25" s="192">
        <v>1</v>
      </c>
      <c r="H25" s="192">
        <v>0</v>
      </c>
      <c r="I25" s="192">
        <v>0</v>
      </c>
      <c r="J25" s="192">
        <v>-35</v>
      </c>
      <c r="K25" s="192">
        <v>-35</v>
      </c>
      <c r="L25" s="192">
        <v>-30</v>
      </c>
      <c r="M25" s="192">
        <v>-35</v>
      </c>
      <c r="N25" s="192">
        <v>0</v>
      </c>
      <c r="O25" s="192">
        <v>0</v>
      </c>
      <c r="P25" s="192">
        <v>0</v>
      </c>
      <c r="Q25" s="192">
        <v>0</v>
      </c>
      <c r="R25" s="192">
        <v>0</v>
      </c>
      <c r="S25" s="192">
        <v>0</v>
      </c>
      <c r="T25" s="192">
        <v>0</v>
      </c>
      <c r="U25" s="192">
        <v>0</v>
      </c>
      <c r="V25" s="192">
        <v>0</v>
      </c>
      <c r="W25" s="192">
        <v>0</v>
      </c>
      <c r="X25" s="192">
        <v>0</v>
      </c>
      <c r="Y25" s="192">
        <v>0</v>
      </c>
      <c r="Z25" s="192">
        <v>0</v>
      </c>
      <c r="AA25" s="192">
        <v>0</v>
      </c>
      <c r="AB25" s="192">
        <v>0</v>
      </c>
    </row>
    <row r="26" spans="1:28" s="135" customFormat="1" x14ac:dyDescent="0.2">
      <c r="A26" s="129" t="s">
        <v>112</v>
      </c>
      <c r="B26" s="193">
        <v>13</v>
      </c>
      <c r="C26" s="189">
        <v>0</v>
      </c>
      <c r="D26" s="190">
        <v>8</v>
      </c>
      <c r="E26" s="191">
        <f>IF(E20=0,1,0)</f>
        <v>0</v>
      </c>
      <c r="F26" s="192">
        <v>11</v>
      </c>
      <c r="G26" s="192">
        <v>1</v>
      </c>
      <c r="H26" s="192">
        <v>0</v>
      </c>
      <c r="I26" s="192">
        <v>0</v>
      </c>
      <c r="J26" s="192">
        <v>-30</v>
      </c>
      <c r="K26" s="192">
        <v>-30</v>
      </c>
      <c r="L26" s="192">
        <v>-25</v>
      </c>
      <c r="M26" s="192">
        <v>-30</v>
      </c>
      <c r="N26" s="192">
        <v>0</v>
      </c>
      <c r="O26" s="192">
        <v>0</v>
      </c>
      <c r="P26" s="192">
        <v>0</v>
      </c>
      <c r="Q26" s="192">
        <v>0</v>
      </c>
      <c r="R26" s="192">
        <v>0</v>
      </c>
      <c r="S26" s="192">
        <v>0</v>
      </c>
      <c r="T26" s="192">
        <v>0</v>
      </c>
      <c r="U26" s="192">
        <v>0</v>
      </c>
      <c r="V26" s="192">
        <v>0</v>
      </c>
      <c r="W26" s="192">
        <v>0</v>
      </c>
      <c r="X26" s="192">
        <v>0</v>
      </c>
      <c r="Y26" s="192">
        <v>0</v>
      </c>
      <c r="Z26" s="192">
        <v>0</v>
      </c>
      <c r="AA26" s="192">
        <v>0</v>
      </c>
      <c r="AB26" s="192">
        <v>0</v>
      </c>
    </row>
    <row r="27" spans="1:28" s="135" customFormat="1" x14ac:dyDescent="0.2">
      <c r="A27" s="129" t="s">
        <v>111</v>
      </c>
      <c r="B27" s="188">
        <v>14</v>
      </c>
      <c r="C27" s="189">
        <v>0</v>
      </c>
      <c r="D27" s="190">
        <v>9</v>
      </c>
      <c r="E27" s="191">
        <f>IF(E21=0,1,0)</f>
        <v>0</v>
      </c>
      <c r="F27" s="192">
        <v>-9.5</v>
      </c>
      <c r="G27" s="192">
        <v>-0.5</v>
      </c>
      <c r="H27" s="192">
        <v>0</v>
      </c>
      <c r="I27" s="192">
        <v>0</v>
      </c>
      <c r="J27" s="192">
        <v>-10</v>
      </c>
      <c r="K27" s="192">
        <v>-10</v>
      </c>
      <c r="L27" s="192">
        <v>-10</v>
      </c>
      <c r="M27" s="192">
        <v>5</v>
      </c>
      <c r="N27" s="192">
        <v>0</v>
      </c>
      <c r="O27" s="192">
        <v>0</v>
      </c>
      <c r="P27" s="192">
        <v>0</v>
      </c>
      <c r="Q27" s="192">
        <v>0</v>
      </c>
      <c r="R27" s="192">
        <v>0</v>
      </c>
      <c r="S27" s="192">
        <v>0</v>
      </c>
      <c r="T27" s="192">
        <v>0</v>
      </c>
      <c r="U27" s="192">
        <v>0</v>
      </c>
      <c r="V27" s="192">
        <v>0</v>
      </c>
      <c r="W27" s="192">
        <v>0</v>
      </c>
      <c r="X27" s="192">
        <v>0</v>
      </c>
      <c r="Y27" s="192">
        <v>0</v>
      </c>
      <c r="Z27" s="192">
        <v>0</v>
      </c>
      <c r="AA27" s="192">
        <v>0</v>
      </c>
      <c r="AB27" s="192">
        <v>0</v>
      </c>
    </row>
    <row r="28" spans="1:28" s="135" customFormat="1" x14ac:dyDescent="0.2">
      <c r="A28" s="129" t="s">
        <v>110</v>
      </c>
      <c r="B28" s="188">
        <v>15</v>
      </c>
      <c r="C28" s="189">
        <v>0</v>
      </c>
      <c r="D28" s="190">
        <v>10</v>
      </c>
      <c r="E28" s="191">
        <f>IF(E22=0,1,0)</f>
        <v>1</v>
      </c>
      <c r="F28" s="192">
        <v>-2</v>
      </c>
      <c r="G28" s="192">
        <v>0</v>
      </c>
      <c r="H28" s="192">
        <v>0</v>
      </c>
      <c r="I28" s="192">
        <v>0</v>
      </c>
      <c r="J28" s="192">
        <v>0</v>
      </c>
      <c r="K28" s="192">
        <v>5</v>
      </c>
      <c r="L28" s="192">
        <v>5</v>
      </c>
      <c r="M28" s="192">
        <v>0</v>
      </c>
      <c r="N28" s="192">
        <v>0</v>
      </c>
      <c r="O28" s="192">
        <v>0</v>
      </c>
      <c r="P28" s="192">
        <v>0</v>
      </c>
      <c r="Q28" s="192">
        <v>0</v>
      </c>
      <c r="R28" s="192">
        <v>0</v>
      </c>
      <c r="S28" s="192">
        <v>0</v>
      </c>
      <c r="T28" s="192">
        <v>0</v>
      </c>
      <c r="U28" s="192">
        <v>0</v>
      </c>
      <c r="V28" s="192">
        <v>0</v>
      </c>
      <c r="W28" s="192">
        <v>0</v>
      </c>
      <c r="X28" s="192">
        <v>0</v>
      </c>
      <c r="Y28" s="192">
        <v>0</v>
      </c>
      <c r="Z28" s="192">
        <v>0</v>
      </c>
      <c r="AA28" s="192">
        <v>0</v>
      </c>
      <c r="AB28" s="192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2024-09-18T10:08:12Z</dcterms:modified>
</cp:coreProperties>
</file>