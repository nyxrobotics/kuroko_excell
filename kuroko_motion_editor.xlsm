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_wake_b" sheetId="38" r:id="rId1"/>
    <sheet name="dynamixel_wake_f" sheetId="36" r:id="rId2"/>
    <sheet name="dynamixel" sheetId="35" r:id="rId3"/>
    <sheet name="dynamixel_walk" sheetId="37" r:id="rId4"/>
    <sheet name="Walk" sheetId="23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4" i="37" l="1"/>
  <c r="O9" i="37"/>
  <c r="O10" i="37"/>
  <c r="G26" i="37"/>
  <c r="G27" i="37"/>
  <c r="G28" i="37"/>
  <c r="G25" i="37"/>
  <c r="G14" i="37"/>
  <c r="J29" i="37"/>
  <c r="K29" i="37"/>
  <c r="L29" i="37"/>
  <c r="O35" i="37" s="1"/>
  <c r="M29" i="37"/>
  <c r="P35" i="37" s="1"/>
  <c r="N29" i="37"/>
  <c r="Q35" i="37" s="1"/>
  <c r="O29" i="37"/>
  <c r="R35" i="37" s="1"/>
  <c r="P29" i="37"/>
  <c r="S35" i="37" s="1"/>
  <c r="Q29" i="37"/>
  <c r="R29" i="37"/>
  <c r="S29" i="37"/>
  <c r="I32" i="37"/>
  <c r="I38" i="37" s="1"/>
  <c r="J35" i="37"/>
  <c r="K35" i="37"/>
  <c r="L35" i="37"/>
  <c r="M35" i="37"/>
  <c r="N35" i="37"/>
  <c r="O36" i="37"/>
  <c r="P36" i="37"/>
  <c r="Q36" i="37"/>
  <c r="R36" i="37"/>
  <c r="S36" i="37"/>
  <c r="I37" i="37"/>
  <c r="O37" i="37"/>
  <c r="P37" i="37"/>
  <c r="Q37" i="37"/>
  <c r="R37" i="37"/>
  <c r="S37" i="37"/>
  <c r="O38" i="37"/>
  <c r="P38" i="37"/>
  <c r="Q38" i="37"/>
  <c r="R38" i="37"/>
  <c r="S38" i="37"/>
  <c r="O39" i="37"/>
  <c r="P39" i="37"/>
  <c r="Q39" i="37"/>
  <c r="R39" i="37"/>
  <c r="S39" i="37"/>
  <c r="O40" i="37"/>
  <c r="P40" i="37"/>
  <c r="Q40" i="37"/>
  <c r="R40" i="37"/>
  <c r="S40" i="37"/>
  <c r="P8" i="37"/>
  <c r="Q8" i="37"/>
  <c r="P9" i="37"/>
  <c r="Q9" i="37"/>
  <c r="P10" i="37"/>
  <c r="Q10" i="37"/>
  <c r="P11" i="37"/>
  <c r="Q11" i="37"/>
  <c r="P12" i="37"/>
  <c r="Q12" i="37"/>
  <c r="P13" i="37"/>
  <c r="Q13" i="37"/>
  <c r="O11" i="37"/>
  <c r="O12" i="37"/>
  <c r="O13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O5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P15" i="37"/>
  <c r="Q15" i="37"/>
  <c r="O16" i="37"/>
  <c r="P16" i="37"/>
  <c r="P17" i="37"/>
  <c r="O18" i="37"/>
  <c r="P18" i="37"/>
  <c r="Q18" i="37"/>
  <c r="O19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<sst xmlns="http://schemas.openxmlformats.org/spreadsheetml/2006/main" count="1358" uniqueCount="109">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</sst>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3" sqref="O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L22" sqref="L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192</v>
      </c>
      <c r="M4" s="62">
        <f t="shared" si="0"/>
        <v>212</v>
      </c>
      <c r="N4" s="62">
        <f t="shared" si="0"/>
        <v>232</v>
      </c>
      <c r="O4" s="62">
        <f t="shared" si="0"/>
        <v>262</v>
      </c>
      <c r="P4" s="62">
        <f t="shared" si="0"/>
        <v>362</v>
      </c>
      <c r="Q4" s="62">
        <f t="shared" si="0"/>
        <v>462</v>
      </c>
      <c r="R4" s="62">
        <f t="shared" si="0"/>
        <v>562</v>
      </c>
      <c r="S4" s="62">
        <f t="shared" si="0"/>
        <v>662</v>
      </c>
      <c r="T4" s="62">
        <f t="shared" si="0"/>
        <v>762</v>
      </c>
      <c r="U4" s="62">
        <f t="shared" si="0"/>
        <v>772</v>
      </c>
      <c r="V4" s="62">
        <f t="shared" si="0"/>
        <v>774</v>
      </c>
      <c r="W4" s="62">
        <f t="shared" si="0"/>
        <v>776</v>
      </c>
      <c r="X4" s="62">
        <f t="shared" si="0"/>
        <v>801</v>
      </c>
      <c r="Y4" s="62">
        <f t="shared" si="0"/>
        <v>901</v>
      </c>
      <c r="Z4" s="62">
        <f t="shared" si="0"/>
        <v>1001</v>
      </c>
      <c r="AA4" s="62">
        <f t="shared" si="0"/>
        <v>1101</v>
      </c>
      <c r="AB4" s="62">
        <f t="shared" si="0"/>
        <v>1201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80</v>
      </c>
      <c r="L5" s="63">
        <v>20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v>0</v>
      </c>
      <c r="H26" s="44">
        <v>0</v>
      </c>
      <c r="I26" s="44">
        <v>0</v>
      </c>
      <c r="J26" s="44">
        <f t="shared" ref="J26:N26" si="4">J22</f>
        <v>0</v>
      </c>
      <c r="K26" s="44">
        <f t="shared" si="4"/>
        <v>0</v>
      </c>
      <c r="L26" s="44">
        <f t="shared" si="4"/>
        <v>10</v>
      </c>
      <c r="M26" s="44">
        <f t="shared" si="4"/>
        <v>20</v>
      </c>
      <c r="N26" s="44">
        <f t="shared" si="4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f t="shared" ref="J27:N27" si="5">J23</f>
        <v>0</v>
      </c>
      <c r="K27" s="44">
        <f t="shared" si="5"/>
        <v>-120</v>
      </c>
      <c r="L27" s="44">
        <f t="shared" si="5"/>
        <v>-110</v>
      </c>
      <c r="M27" s="44">
        <f t="shared" si="5"/>
        <v>0</v>
      </c>
      <c r="N27" s="44">
        <f t="shared" si="5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f t="shared" ref="J28:N28" si="6">J24</f>
        <v>0</v>
      </c>
      <c r="K28" s="44">
        <f t="shared" si="6"/>
        <v>-130</v>
      </c>
      <c r="L28" s="44">
        <f t="shared" si="6"/>
        <v>-120</v>
      </c>
      <c r="M28" s="44">
        <f t="shared" si="6"/>
        <v>0</v>
      </c>
      <c r="N28" s="44">
        <f t="shared" si="6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A3" sqref="A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F8" sqref="F8:G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24</v>
      </c>
      <c r="L4" s="62">
        <f t="shared" si="0"/>
        <v>30</v>
      </c>
      <c r="M4" s="62">
        <f t="shared" si="0"/>
        <v>35</v>
      </c>
      <c r="N4" s="62">
        <f t="shared" si="0"/>
        <v>39</v>
      </c>
      <c r="O4" s="62">
        <f t="shared" si="0"/>
        <v>45</v>
      </c>
      <c r="P4" s="62">
        <f t="shared" si="0"/>
        <v>50</v>
      </c>
      <c r="Q4" s="62">
        <f t="shared" si="0"/>
        <v>54</v>
      </c>
      <c r="R4" s="62">
        <f t="shared" si="0"/>
        <v>60</v>
      </c>
      <c r="S4" s="62">
        <f t="shared" si="0"/>
        <v>75</v>
      </c>
      <c r="T4" s="62">
        <f t="shared" si="0"/>
        <v>85</v>
      </c>
      <c r="U4" s="62">
        <f t="shared" si="0"/>
        <v>87</v>
      </c>
      <c r="V4" s="62">
        <f t="shared" si="0"/>
        <v>89</v>
      </c>
      <c r="W4" s="62">
        <f t="shared" si="0"/>
        <v>91</v>
      </c>
      <c r="X4" s="62">
        <f t="shared" si="0"/>
        <v>116</v>
      </c>
      <c r="Y4" s="62">
        <f t="shared" si="0"/>
        <v>216</v>
      </c>
      <c r="Z4" s="62">
        <f t="shared" si="0"/>
        <v>316</v>
      </c>
      <c r="AA4" s="62">
        <f t="shared" si="0"/>
        <v>416</v>
      </c>
      <c r="AB4" s="62">
        <f t="shared" si="0"/>
        <v>516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12</v>
      </c>
      <c r="K5" s="63">
        <v>6</v>
      </c>
      <c r="L5" s="63">
        <v>5</v>
      </c>
      <c r="M5" s="63">
        <v>4</v>
      </c>
      <c r="N5" s="63">
        <v>6</v>
      </c>
      <c r="O5" s="63">
        <f>L5</f>
        <v>5</v>
      </c>
      <c r="P5" s="63">
        <f t="shared" ref="P5:Q6" si="1">M5</f>
        <v>4</v>
      </c>
      <c r="Q5" s="63">
        <f t="shared" si="1"/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f>L6</f>
        <v>0</v>
      </c>
      <c r="P6" s="63">
        <f t="shared" si="1"/>
        <v>0</v>
      </c>
      <c r="Q6" s="63">
        <f t="shared" si="1"/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f>L14</f>
        <v>0</v>
      </c>
      <c r="P8" s="38">
        <f t="shared" ref="P8:Q13" si="2">M14</f>
        <v>0</v>
      </c>
      <c r="Q8" s="38">
        <f t="shared" si="2"/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2</v>
      </c>
      <c r="M9" s="38">
        <v>-10</v>
      </c>
      <c r="N9" s="38">
        <v>2</v>
      </c>
      <c r="O9" s="38">
        <f t="shared" ref="O9:O13" si="3">L15</f>
        <v>2</v>
      </c>
      <c r="P9" s="38">
        <f t="shared" si="2"/>
        <v>9</v>
      </c>
      <c r="Q9" s="38">
        <f t="shared" si="2"/>
        <v>15</v>
      </c>
      <c r="R9" s="38">
        <v>7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-15</v>
      </c>
      <c r="K10" s="38">
        <v>-15</v>
      </c>
      <c r="L10" s="38">
        <v>-3</v>
      </c>
      <c r="M10" s="38">
        <v>-6</v>
      </c>
      <c r="N10" s="38">
        <v>-30</v>
      </c>
      <c r="O10" s="38">
        <f t="shared" si="3"/>
        <v>25</v>
      </c>
      <c r="P10" s="38">
        <f t="shared" si="2"/>
        <v>4</v>
      </c>
      <c r="Q10" s="38">
        <f t="shared" si="2"/>
        <v>1</v>
      </c>
      <c r="R10" s="38">
        <v>49</v>
      </c>
      <c r="S10" s="38"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6</v>
      </c>
      <c r="K11" s="38">
        <v>12</v>
      </c>
      <c r="L11" s="38">
        <v>16</v>
      </c>
      <c r="M11" s="38">
        <v>28</v>
      </c>
      <c r="N11" s="38">
        <v>-40</v>
      </c>
      <c r="O11" s="38">
        <f t="shared" si="3"/>
        <v>-5</v>
      </c>
      <c r="P11" s="38">
        <f t="shared" si="2"/>
        <v>-12</v>
      </c>
      <c r="Q11" s="38">
        <f t="shared" si="2"/>
        <v>6</v>
      </c>
      <c r="R11" s="38">
        <v>-24</v>
      </c>
      <c r="S11" s="38"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f t="shared" si="3"/>
        <v>0</v>
      </c>
      <c r="P12" s="38">
        <f t="shared" si="2"/>
        <v>0</v>
      </c>
      <c r="Q12" s="38">
        <f t="shared" si="2"/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-10</v>
      </c>
      <c r="K13" s="38">
        <v>-7</v>
      </c>
      <c r="L13" s="38">
        <v>-2</v>
      </c>
      <c r="M13" s="38">
        <v>5</v>
      </c>
      <c r="N13" s="38">
        <v>18</v>
      </c>
      <c r="O13" s="38">
        <f t="shared" si="3"/>
        <v>-2</v>
      </c>
      <c r="P13" s="38">
        <f t="shared" si="2"/>
        <v>-6</v>
      </c>
      <c r="Q13" s="38">
        <f t="shared" si="2"/>
        <v>-7</v>
      </c>
      <c r="R13" s="38">
        <v>-7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f>L8</f>
        <v>0</v>
      </c>
      <c r="P14" s="44">
        <f t="shared" ref="P14:Q19" si="4">M8</f>
        <v>0</v>
      </c>
      <c r="Q14" s="44">
        <f t="shared" si="4"/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5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v>-7</v>
      </c>
      <c r="K15" s="44">
        <v>2</v>
      </c>
      <c r="L15" s="44">
        <v>2</v>
      </c>
      <c r="M15" s="44">
        <v>9</v>
      </c>
      <c r="N15" s="44">
        <v>15</v>
      </c>
      <c r="O15" s="44">
        <v>6</v>
      </c>
      <c r="P15" s="44">
        <f t="shared" si="4"/>
        <v>-10</v>
      </c>
      <c r="Q15" s="44">
        <f t="shared" si="4"/>
        <v>2</v>
      </c>
      <c r="R15" s="44">
        <v>2</v>
      </c>
      <c r="S15" s="44"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5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0</v>
      </c>
      <c r="K16" s="44">
        <v>-25</v>
      </c>
      <c r="L16" s="44">
        <v>25</v>
      </c>
      <c r="M16" s="44">
        <v>4</v>
      </c>
      <c r="N16" s="44">
        <v>1</v>
      </c>
      <c r="O16" s="44">
        <f t="shared" ref="O16:O19" si="6">L10</f>
        <v>-3</v>
      </c>
      <c r="P16" s="44">
        <f t="shared" si="4"/>
        <v>-6</v>
      </c>
      <c r="Q16" s="44">
        <f t="shared" si="4"/>
        <v>-30</v>
      </c>
      <c r="R16" s="44">
        <v>19</v>
      </c>
      <c r="S16" s="44"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5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17</v>
      </c>
      <c r="K17" s="44">
        <v>-10</v>
      </c>
      <c r="L17" s="44">
        <v>-5</v>
      </c>
      <c r="M17" s="44">
        <v>-12</v>
      </c>
      <c r="N17" s="44">
        <v>6</v>
      </c>
      <c r="O17" s="44">
        <f t="shared" si="6"/>
        <v>16</v>
      </c>
      <c r="P17" s="44">
        <f t="shared" si="4"/>
        <v>28</v>
      </c>
      <c r="Q17" s="44">
        <f t="shared" si="4"/>
        <v>-40</v>
      </c>
      <c r="R17" s="44">
        <v>-14</v>
      </c>
      <c r="S17" s="44"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5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f t="shared" si="6"/>
        <v>0</v>
      </c>
      <c r="P18" s="44">
        <f t="shared" si="4"/>
        <v>0</v>
      </c>
      <c r="Q18" s="44">
        <f t="shared" si="4"/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7</v>
      </c>
      <c r="K19" s="44">
        <v>10</v>
      </c>
      <c r="L19" s="44">
        <v>-2</v>
      </c>
      <c r="M19" s="44">
        <v>-6</v>
      </c>
      <c r="N19" s="44">
        <v>-7</v>
      </c>
      <c r="O19" s="44">
        <f t="shared" si="6"/>
        <v>-2</v>
      </c>
      <c r="P19" s="44">
        <f t="shared" si="4"/>
        <v>5</v>
      </c>
      <c r="Q19" s="44">
        <f t="shared" si="4"/>
        <v>18</v>
      </c>
      <c r="R19" s="44">
        <v>3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8</v>
      </c>
      <c r="K20" s="51">
        <v>-16</v>
      </c>
      <c r="L20" s="51">
        <v>-2.5</v>
      </c>
      <c r="M20" s="51">
        <v>-5</v>
      </c>
      <c r="N20" s="51">
        <v>-4</v>
      </c>
      <c r="O20" s="51">
        <f>-L20</f>
        <v>2.5</v>
      </c>
      <c r="P20" s="51">
        <f t="shared" ref="P20:Q20" si="7">-M20</f>
        <v>5</v>
      </c>
      <c r="Q20" s="51">
        <f t="shared" si="7"/>
        <v>4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8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8"/>
        <v>1</v>
      </c>
      <c r="F26" s="44">
        <v>2</v>
      </c>
      <c r="G26" s="44">
        <f t="shared" ref="G26:G28" si="9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8"/>
        <v>0</v>
      </c>
      <c r="F27" s="44">
        <v>125</v>
      </c>
      <c r="G27" s="44">
        <f t="shared" si="9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8"/>
        <v>1</v>
      </c>
      <c r="F28" s="44">
        <v>125</v>
      </c>
      <c r="G28" s="44">
        <f t="shared" si="9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0">K50+J50</f>
        <v>0</v>
      </c>
      <c r="L29" s="38">
        <f t="shared" ref="L29" si="11">L50+K50</f>
        <v>0</v>
      </c>
      <c r="M29" s="38">
        <f t="shared" ref="M29" si="12">M50+L50</f>
        <v>0</v>
      </c>
      <c r="N29" s="38">
        <f t="shared" ref="N29" si="13">N50+M50</f>
        <v>0</v>
      </c>
      <c r="O29" s="38">
        <f t="shared" ref="O29" si="14">O50+N50</f>
        <v>0</v>
      </c>
      <c r="P29" s="38">
        <f t="shared" ref="P29" si="15">P50+O50</f>
        <v>0</v>
      </c>
      <c r="Q29" s="38">
        <f t="shared" ref="Q29" si="16">Q50+P50</f>
        <v>0</v>
      </c>
      <c r="R29" s="38">
        <f t="shared" ref="R29" si="17">R50+Q50</f>
        <v>0</v>
      </c>
      <c r="S29" s="38">
        <f t="shared" ref="S29" si="18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19">J56+I56</f>
        <v>0</v>
      </c>
      <c r="K35" s="44">
        <f t="shared" ref="K35" si="20">K56+J56</f>
        <v>0</v>
      </c>
      <c r="L35" s="44">
        <f t="shared" ref="L35" si="21">L56+K56</f>
        <v>0</v>
      </c>
      <c r="M35" s="44">
        <f t="shared" ref="M35" si="22">M56+L56</f>
        <v>0</v>
      </c>
      <c r="N35" s="44">
        <f t="shared" ref="N35" si="23">N56+M56</f>
        <v>0</v>
      </c>
      <c r="O35" s="44">
        <f>L29</f>
        <v>0</v>
      </c>
      <c r="P35" s="44">
        <f t="shared" ref="P35:S40" si="24">M29</f>
        <v>0</v>
      </c>
      <c r="Q35" s="44">
        <f t="shared" si="24"/>
        <v>0</v>
      </c>
      <c r="R35" s="44">
        <f t="shared" si="24"/>
        <v>0</v>
      </c>
      <c r="S35" s="44">
        <f t="shared" si="24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25">L30</f>
        <v>7</v>
      </c>
      <c r="P36" s="44">
        <f t="shared" si="24"/>
        <v>-3</v>
      </c>
      <c r="Q36" s="44">
        <f t="shared" si="24"/>
        <v>-3</v>
      </c>
      <c r="R36" s="44">
        <f t="shared" si="24"/>
        <v>2</v>
      </c>
      <c r="S36" s="44">
        <f t="shared" si="24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25"/>
        <v>-12</v>
      </c>
      <c r="P37" s="44">
        <f t="shared" si="24"/>
        <v>-15</v>
      </c>
      <c r="Q37" s="44">
        <f t="shared" si="24"/>
        <v>-37</v>
      </c>
      <c r="R37" s="44">
        <f t="shared" si="24"/>
        <v>10</v>
      </c>
      <c r="S37" s="44">
        <f t="shared" si="24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25"/>
        <v>25</v>
      </c>
      <c r="P38" s="44">
        <f t="shared" si="24"/>
        <v>37</v>
      </c>
      <c r="Q38" s="44">
        <f t="shared" si="24"/>
        <v>-23</v>
      </c>
      <c r="R38" s="44">
        <f t="shared" si="24"/>
        <v>-5</v>
      </c>
      <c r="S38" s="44">
        <f t="shared" si="24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25"/>
        <v>0</v>
      </c>
      <c r="P39" s="44">
        <f t="shared" si="24"/>
        <v>0</v>
      </c>
      <c r="Q39" s="44">
        <f t="shared" si="24"/>
        <v>0</v>
      </c>
      <c r="R39" s="44">
        <f t="shared" si="24"/>
        <v>0</v>
      </c>
      <c r="S39" s="44">
        <f t="shared" si="24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25"/>
        <v>-7</v>
      </c>
      <c r="P40" s="44">
        <f t="shared" si="24"/>
        <v>-12</v>
      </c>
      <c r="Q40" s="44">
        <f t="shared" si="24"/>
        <v>5</v>
      </c>
      <c r="R40" s="44">
        <f t="shared" si="24"/>
        <v>3</v>
      </c>
      <c r="S40" s="44">
        <f t="shared" si="24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U15:AB17 V19:AB19 J29:S29 J33:S33 J39:N39 J35:S35 O36:S40 O15:Q19 R18:AB18 R12:AB12 O9:Q13 F15:G19 F12:N12 F14:AB14 F8:AB8 H18:N18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J30:S32 R9:T11 H9:N11" name="入力範囲_4_1_1_1_1_1_3"/>
    <protectedRange sqref="J36:N38 R15:T17 H15:N17" name="入力範囲_4_1_1_1_1_1_9"/>
    <protectedRange sqref="J34:S34 R13:T13 H13:N13" name="入力範囲_4_1_1_1_1_1_10"/>
    <protectedRange sqref="U19" name="入力範囲_4_1_1_1_1_1_11"/>
    <protectedRange sqref="J40:N40 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2024-06-30T13:40:52Z</dcterms:modified>
</cp:coreProperties>
</file>