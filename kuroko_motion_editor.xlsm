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4"/>
  </bookViews>
  <sheets>
    <sheet name="dynamixel" sheetId="35" r:id="rId1"/>
    <sheet name="dynamixel_wake_b" sheetId="38" r:id="rId2"/>
    <sheet name="dynamixel_wake_f" sheetId="36" r:id="rId3"/>
    <sheet name="dynamixel_atk" sheetId="39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9" l="1"/>
  <c r="G27" i="39"/>
  <c r="G26" i="39"/>
  <c r="G25" i="39"/>
  <c r="G28" i="38"/>
  <c r="G27" i="38"/>
  <c r="G26" i="38"/>
  <c r="G25" i="38"/>
  <c r="G28" i="36"/>
  <c r="G27" i="36"/>
  <c r="G26" i="36"/>
  <c r="G25" i="36"/>
  <c r="E28" i="35"/>
  <c r="E27" i="35"/>
  <c r="E26" i="35"/>
  <c r="E25" i="35"/>
  <c r="E19" i="35"/>
  <c r="E18" i="35"/>
  <c r="E17" i="35"/>
  <c r="E16" i="35"/>
  <c r="E15" i="35"/>
  <c r="E14" i="35"/>
  <c r="G28" i="35"/>
  <c r="G27" i="35"/>
  <c r="G26" i="35"/>
  <c r="G25" i="35"/>
  <c r="E28" i="39"/>
  <c r="E27" i="39"/>
  <c r="E26" i="39"/>
  <c r="E25" i="39"/>
  <c r="E19" i="39"/>
  <c r="E18" i="39"/>
  <c r="E17" i="39"/>
  <c r="E16" i="39"/>
  <c r="E15" i="39"/>
  <c r="E14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O15" i="37"/>
  <c r="O13" i="37"/>
  <c r="P13" i="37"/>
  <c r="Q13" i="37"/>
  <c r="O19" i="37"/>
  <c r="O14" i="37" l="1"/>
  <c r="O9" i="37"/>
  <c r="O10" i="37"/>
  <c r="G26" i="37"/>
  <c r="G27" i="37"/>
  <c r="G28" i="37"/>
  <c r="G25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O11" i="37"/>
  <c r="O12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<sst xmlns="http://schemas.openxmlformats.org/spreadsheetml/2006/main" count="1394" uniqueCount="109">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</sst>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  <xf numFmtId="177" fontId="14" fillId="0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B4" sqref="B4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1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1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5</v>
      </c>
      <c r="G26" s="44">
        <f t="shared" ref="G26:G28" si="3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3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3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8:AB19" name="入力範囲_4_1_1_1_1_1"/>
    <protectedRange sqref="H20:AB20" name="入力範囲_4_1_1_1_1_1_1"/>
    <protectedRange sqref="F8:G19" name="入力範囲_4_1_1_1_1_1_4"/>
    <protectedRange sqref="F20:G20" name="入力範囲_4_1_1_1_1_1_1_1"/>
    <protectedRange sqref="E8:E13" name="入力範囲_4_1_1_1_3_1_1_3"/>
    <protectedRange sqref="E20" name="入力範囲_4_1_1_1_3_1_1_1_1"/>
    <protectedRange sqref="E14:E19 E25:E28" name="入力範囲_4_1_1_1_3_1_1_2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F8" sqref="F8:G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5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S9:AB11 S13:AB13 S15:AB17 S19:AB19 H8:AB8 H12:AB12 H14:AB14 H18:AB18" name="入力範囲_4_1_1_1_1_1"/>
    <protectedRange sqref="E8:E13" name="入力範囲_4_1_1_1_3_1_1"/>
    <protectedRange sqref="H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F8" sqref="F8:G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222</v>
      </c>
      <c r="M4" s="62">
        <f t="shared" si="0"/>
        <v>232</v>
      </c>
      <c r="N4" s="62">
        <f t="shared" si="0"/>
        <v>252</v>
      </c>
      <c r="O4" s="62">
        <f t="shared" si="0"/>
        <v>282</v>
      </c>
      <c r="P4" s="62">
        <f t="shared" si="0"/>
        <v>382</v>
      </c>
      <c r="Q4" s="62">
        <f t="shared" si="0"/>
        <v>482</v>
      </c>
      <c r="R4" s="62">
        <f t="shared" si="0"/>
        <v>582</v>
      </c>
      <c r="S4" s="62">
        <f t="shared" si="0"/>
        <v>682</v>
      </c>
      <c r="T4" s="62">
        <f t="shared" si="0"/>
        <v>782</v>
      </c>
      <c r="U4" s="62">
        <f t="shared" si="0"/>
        <v>792</v>
      </c>
      <c r="V4" s="62">
        <f t="shared" si="0"/>
        <v>794</v>
      </c>
      <c r="W4" s="62">
        <f t="shared" si="0"/>
        <v>796</v>
      </c>
      <c r="X4" s="62">
        <f t="shared" si="0"/>
        <v>821</v>
      </c>
      <c r="Y4" s="62">
        <f t="shared" si="0"/>
        <v>921</v>
      </c>
      <c r="Z4" s="62">
        <f t="shared" si="0"/>
        <v>1021</v>
      </c>
      <c r="AA4" s="62">
        <f t="shared" si="0"/>
        <v>1121</v>
      </c>
      <c r="AB4" s="62">
        <f t="shared" si="0"/>
        <v>1221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100</v>
      </c>
      <c r="L5" s="63">
        <v>10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-110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-120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5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-110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-120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8:AB8 H12:AB12 O9:AB11 O13:AB13 H14:AB19" name="入力範囲_4_1_1_1_1_1"/>
    <protectedRange sqref="E8:E13" name="入力範囲_4_1_1_1_3_1_1"/>
    <protectedRange sqref="H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A1:AB51"/>
  <sheetViews>
    <sheetView zoomScale="145" zoomScaleNormal="145" workbookViewId="0">
      <selection activeCell="H18" sqref="H1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32</v>
      </c>
      <c r="L4" s="62">
        <f t="shared" si="0"/>
        <v>72</v>
      </c>
      <c r="M4" s="62">
        <f t="shared" si="0"/>
        <v>102</v>
      </c>
      <c r="N4" s="62">
        <f t="shared" si="0"/>
        <v>112</v>
      </c>
      <c r="O4" s="62">
        <f t="shared" si="0"/>
        <v>142</v>
      </c>
      <c r="P4" s="62">
        <f t="shared" si="0"/>
        <v>172</v>
      </c>
      <c r="Q4" s="62">
        <f t="shared" si="0"/>
        <v>182</v>
      </c>
      <c r="R4" s="62">
        <f t="shared" si="0"/>
        <v>212</v>
      </c>
      <c r="S4" s="62">
        <f t="shared" si="0"/>
        <v>227</v>
      </c>
      <c r="T4" s="62">
        <f t="shared" si="0"/>
        <v>237</v>
      </c>
      <c r="U4" s="62">
        <f t="shared" si="0"/>
        <v>239</v>
      </c>
      <c r="V4" s="62">
        <f t="shared" si="0"/>
        <v>241</v>
      </c>
      <c r="W4" s="62">
        <f t="shared" si="0"/>
        <v>243</v>
      </c>
      <c r="X4" s="62">
        <f t="shared" si="0"/>
        <v>268</v>
      </c>
      <c r="Y4" s="62">
        <f t="shared" si="0"/>
        <v>368</v>
      </c>
      <c r="Z4" s="62">
        <f t="shared" si="0"/>
        <v>468</v>
      </c>
      <c r="AA4" s="62">
        <f t="shared" si="0"/>
        <v>568</v>
      </c>
      <c r="AB4" s="62">
        <f t="shared" si="0"/>
        <v>668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20</v>
      </c>
      <c r="K5" s="63">
        <v>10</v>
      </c>
      <c r="L5" s="63">
        <v>10</v>
      </c>
      <c r="M5" s="63">
        <v>10</v>
      </c>
      <c r="N5" s="63">
        <v>30</v>
      </c>
      <c r="O5" s="63">
        <f>L5</f>
        <v>10</v>
      </c>
      <c r="P5" s="63">
        <f t="shared" ref="P5:Q6" si="1">M5</f>
        <v>10</v>
      </c>
      <c r="Q5" s="63">
        <f t="shared" si="1"/>
        <v>30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30</v>
      </c>
      <c r="L6" s="63">
        <v>20</v>
      </c>
      <c r="M6" s="63">
        <v>0</v>
      </c>
      <c r="N6" s="63">
        <v>0</v>
      </c>
      <c r="O6" s="63">
        <f>L6</f>
        <v>20</v>
      </c>
      <c r="P6" s="63">
        <f t="shared" si="1"/>
        <v>0</v>
      </c>
      <c r="Q6" s="63">
        <f t="shared" si="1"/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-2.11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-31.99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-29.62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-28.74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1.32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31.99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-1.93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-33.92</v>
      </c>
      <c r="D15" s="11">
        <v>2</v>
      </c>
      <c r="E15" s="43">
        <f t="shared" ref="E15:E18" si="2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-28.48</v>
      </c>
      <c r="D16" s="11">
        <v>3</v>
      </c>
      <c r="E16" s="43">
        <f t="shared" si="2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-27.24</v>
      </c>
      <c r="D17" s="11">
        <v>4</v>
      </c>
      <c r="E17" s="43">
        <f t="shared" si="2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3.69</v>
      </c>
      <c r="D18" s="11">
        <v>5</v>
      </c>
      <c r="E18" s="43">
        <f t="shared" si="2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29.71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1.93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-25</v>
      </c>
      <c r="K20" s="51">
        <v>-90</v>
      </c>
      <c r="L20" s="51">
        <v>-90</v>
      </c>
      <c r="M20" s="51">
        <v>-45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15.03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-50</v>
      </c>
      <c r="K21" s="38">
        <v>-50</v>
      </c>
      <c r="L21" s="38">
        <v>-50</v>
      </c>
      <c r="M21" s="38">
        <v>-50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3.69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90</v>
      </c>
      <c r="K22" s="38">
        <v>90</v>
      </c>
      <c r="L22" s="38">
        <v>90</v>
      </c>
      <c r="M22" s="38">
        <v>90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34.450000000000003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15</v>
      </c>
      <c r="K23" s="38">
        <v>-125</v>
      </c>
      <c r="L23" s="38">
        <v>15</v>
      </c>
      <c r="M23" s="38">
        <v>15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20.92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15</v>
      </c>
      <c r="K24" s="38">
        <v>-125</v>
      </c>
      <c r="L24" s="38">
        <v>-265</v>
      </c>
      <c r="M24" s="38">
        <v>15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0.09</v>
      </c>
      <c r="D25" s="11">
        <v>5</v>
      </c>
      <c r="E25" s="43">
        <f t="shared" ref="E25:E28" si="3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-50</v>
      </c>
      <c r="K25" s="44">
        <v>-50</v>
      </c>
      <c r="L25" s="44">
        <v>-50</v>
      </c>
      <c r="M25" s="44">
        <v>-50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15.64</v>
      </c>
      <c r="D26" s="11">
        <v>6</v>
      </c>
      <c r="E26" s="43">
        <f t="shared" si="3"/>
        <v>1</v>
      </c>
      <c r="F26" s="44">
        <v>5</v>
      </c>
      <c r="G26" s="44">
        <f t="shared" ref="G26:G28" si="4">G22</f>
        <v>0</v>
      </c>
      <c r="H26" s="44">
        <v>0</v>
      </c>
      <c r="I26" s="44">
        <v>0</v>
      </c>
      <c r="J26" s="44">
        <v>90</v>
      </c>
      <c r="K26" s="44">
        <v>90</v>
      </c>
      <c r="L26" s="44">
        <v>90</v>
      </c>
      <c r="M26" s="44">
        <v>90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51.15</v>
      </c>
      <c r="D27" s="11">
        <v>7</v>
      </c>
      <c r="E27" s="43">
        <f t="shared" si="3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v>15</v>
      </c>
      <c r="K27" s="44">
        <v>15</v>
      </c>
      <c r="L27" s="44">
        <v>15</v>
      </c>
      <c r="M27" s="44">
        <v>15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38.58</v>
      </c>
      <c r="D28" s="11">
        <v>8</v>
      </c>
      <c r="E28" s="43">
        <f t="shared" si="3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v>15</v>
      </c>
      <c r="K28" s="44">
        <v>15</v>
      </c>
      <c r="L28" s="44">
        <v>15</v>
      </c>
      <c r="M28" s="44">
        <v>15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V9:AB11 V13:AB13 V15:AB17 V19:AB19 H12:AB12 H14:AB14 H8:AB8 H18:AB18" name="入力範囲_4_1_1_1_1_1"/>
    <protectedRange sqref="E8:E13" name="入力範囲_4_1_1_1_3_1_1"/>
    <protectedRange sqref="X20:AB20" name="入力範囲_4_1_1_1_1_1_1"/>
    <protectedRange sqref="E20" name="入力範囲_4_1_1_1_3_1_1_1"/>
    <protectedRange sqref="E14:E19 E25:E28" name="入力範囲_4_1_1_1_3_1_1_2"/>
    <protectedRange sqref="H20:W20" name="入力範囲_4_1_1_1_1_1_2"/>
    <protectedRange sqref="H9:U11" name="入力範囲_4_1_1_1_1_1_3"/>
    <protectedRange sqref="H15:U17" name="入力範囲_4_1_1_1_1_1_9"/>
    <protectedRange sqref="H13:U13" name="入力範囲_4_1_1_1_1_1_10"/>
    <protectedRange sqref="H19:U19" name="入力範囲_4_1_1_1_1_1_12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tabSelected="1" zoomScale="145" zoomScaleNormal="145" workbookViewId="0">
      <selection activeCell="F8" sqref="F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18</v>
      </c>
      <c r="L4" s="62">
        <f t="shared" si="0"/>
        <v>24</v>
      </c>
      <c r="M4" s="62">
        <f t="shared" si="0"/>
        <v>29</v>
      </c>
      <c r="N4" s="62">
        <f t="shared" si="0"/>
        <v>33</v>
      </c>
      <c r="O4" s="62">
        <f t="shared" si="0"/>
        <v>39</v>
      </c>
      <c r="P4" s="62">
        <f t="shared" si="0"/>
        <v>44</v>
      </c>
      <c r="Q4" s="62">
        <f t="shared" si="0"/>
        <v>48</v>
      </c>
      <c r="R4" s="62">
        <f t="shared" si="0"/>
        <v>54</v>
      </c>
      <c r="S4" s="62">
        <f t="shared" si="0"/>
        <v>69</v>
      </c>
      <c r="T4" s="62">
        <f t="shared" si="0"/>
        <v>79</v>
      </c>
      <c r="U4" s="62">
        <f t="shared" si="0"/>
        <v>81</v>
      </c>
      <c r="V4" s="62">
        <f t="shared" si="0"/>
        <v>83</v>
      </c>
      <c r="W4" s="62">
        <f t="shared" si="0"/>
        <v>85</v>
      </c>
      <c r="X4" s="62">
        <f t="shared" si="0"/>
        <v>110</v>
      </c>
      <c r="Y4" s="62">
        <f t="shared" si="0"/>
        <v>210</v>
      </c>
      <c r="Z4" s="62">
        <f t="shared" si="0"/>
        <v>310</v>
      </c>
      <c r="AA4" s="62">
        <f t="shared" si="0"/>
        <v>410</v>
      </c>
      <c r="AB4" s="62">
        <f t="shared" si="0"/>
        <v>510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6</v>
      </c>
      <c r="K5" s="63">
        <v>0</v>
      </c>
      <c r="L5" s="63">
        <v>5</v>
      </c>
      <c r="M5" s="63">
        <v>4</v>
      </c>
      <c r="N5" s="63">
        <v>0</v>
      </c>
      <c r="O5" s="63">
        <f>L5</f>
        <v>5</v>
      </c>
      <c r="P5" s="63">
        <f t="shared" ref="P5:Q6" si="1">M5</f>
        <v>4</v>
      </c>
      <c r="Q5" s="63">
        <f t="shared" si="1"/>
        <v>0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6</v>
      </c>
      <c r="L6" s="63">
        <v>0</v>
      </c>
      <c r="M6" s="63">
        <v>0</v>
      </c>
      <c r="N6" s="63">
        <v>6</v>
      </c>
      <c r="O6" s="63">
        <f>L6</f>
        <v>0</v>
      </c>
      <c r="P6" s="63">
        <f t="shared" si="1"/>
        <v>0</v>
      </c>
      <c r="Q6" s="63">
        <f t="shared" si="1"/>
        <v>6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-2.11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97">
        <f>L14</f>
        <v>0</v>
      </c>
      <c r="P8" s="97">
        <f t="shared" ref="P8:Q12" si="2">M14</f>
        <v>0</v>
      </c>
      <c r="Q8" s="97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-31.99</v>
      </c>
      <c r="D9" s="10">
        <v>2</v>
      </c>
      <c r="E9" s="37">
        <v>1</v>
      </c>
      <c r="F9" s="38">
        <v>-7.5</v>
      </c>
      <c r="G9" s="38">
        <v>-0.5</v>
      </c>
      <c r="H9" s="38">
        <v>0</v>
      </c>
      <c r="I9" s="38">
        <v>0</v>
      </c>
      <c r="J9" s="38">
        <v>16</v>
      </c>
      <c r="K9" s="38">
        <v>-6</v>
      </c>
      <c r="L9" s="38">
        <v>0</v>
      </c>
      <c r="M9" s="38">
        <v>-3</v>
      </c>
      <c r="N9" s="51">
        <v>-16</v>
      </c>
      <c r="O9" s="97">
        <f t="shared" ref="O9:O12" si="3">L15</f>
        <v>3</v>
      </c>
      <c r="P9" s="97">
        <f t="shared" si="2"/>
        <v>14</v>
      </c>
      <c r="Q9" s="97">
        <f t="shared" si="2"/>
        <v>10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-29.62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-4</v>
      </c>
      <c r="K10" s="38">
        <v>-8</v>
      </c>
      <c r="L10" s="38">
        <v>-3</v>
      </c>
      <c r="M10" s="38">
        <v>-3</v>
      </c>
      <c r="N10" s="38">
        <v>-30</v>
      </c>
      <c r="O10" s="97">
        <f t="shared" si="3"/>
        <v>25</v>
      </c>
      <c r="P10" s="97">
        <f t="shared" si="2"/>
        <v>7</v>
      </c>
      <c r="Q10" s="97">
        <f t="shared" si="2"/>
        <v>-4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-28.74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4</v>
      </c>
      <c r="K11" s="38">
        <v>14</v>
      </c>
      <c r="L11" s="38">
        <v>16</v>
      </c>
      <c r="M11" s="38">
        <v>31</v>
      </c>
      <c r="N11" s="38">
        <v>-34</v>
      </c>
      <c r="O11" s="97">
        <f t="shared" si="3"/>
        <v>-34</v>
      </c>
      <c r="P11" s="97">
        <f t="shared" si="2"/>
        <v>-9</v>
      </c>
      <c r="Q11" s="97">
        <f t="shared" si="2"/>
        <v>1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1.32</v>
      </c>
      <c r="D12" s="10">
        <v>5</v>
      </c>
      <c r="E12" s="37">
        <v>0</v>
      </c>
      <c r="F12" s="38">
        <v>4</v>
      </c>
      <c r="G12" s="38">
        <v>-2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97">
        <f t="shared" si="3"/>
        <v>0</v>
      </c>
      <c r="P12" s="97">
        <f t="shared" si="2"/>
        <v>0</v>
      </c>
      <c r="Q12" s="97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31.99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-6</v>
      </c>
      <c r="K13" s="38">
        <v>-2</v>
      </c>
      <c r="L13" s="38">
        <v>2</v>
      </c>
      <c r="M13" s="38">
        <v>6</v>
      </c>
      <c r="N13" s="38">
        <v>8</v>
      </c>
      <c r="O13" s="97">
        <f t="shared" ref="O13" si="4">L19</f>
        <v>2</v>
      </c>
      <c r="P13" s="97">
        <f t="shared" ref="P13" si="5">M19</f>
        <v>-2</v>
      </c>
      <c r="Q13" s="97">
        <f t="shared" ref="Q13" si="6">N19</f>
        <v>-2</v>
      </c>
      <c r="R13" s="38">
        <v>-5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-1.93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97">
        <f>L8</f>
        <v>0</v>
      </c>
      <c r="P14" s="97">
        <f t="shared" ref="O14:Q19" si="7">M8</f>
        <v>0</v>
      </c>
      <c r="Q14" s="97">
        <f t="shared" si="7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-33.92</v>
      </c>
      <c r="D15" s="11">
        <v>2</v>
      </c>
      <c r="E15" s="43">
        <f t="shared" ref="E15:E18" si="8">IF(E9=0,1,0)</f>
        <v>0</v>
      </c>
      <c r="F15" s="44">
        <v>-7.5</v>
      </c>
      <c r="G15" s="44">
        <v>0.5</v>
      </c>
      <c r="H15" s="44">
        <v>0</v>
      </c>
      <c r="I15" s="44">
        <v>0</v>
      </c>
      <c r="J15" s="44">
        <v>-10</v>
      </c>
      <c r="K15" s="44">
        <v>-4</v>
      </c>
      <c r="L15" s="44">
        <v>3</v>
      </c>
      <c r="M15" s="44">
        <v>14</v>
      </c>
      <c r="N15" s="44">
        <v>10</v>
      </c>
      <c r="O15" s="97">
        <f t="shared" si="7"/>
        <v>0</v>
      </c>
      <c r="P15" s="97">
        <f t="shared" si="7"/>
        <v>-3</v>
      </c>
      <c r="Q15" s="97">
        <f t="shared" si="7"/>
        <v>-16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-28.48</v>
      </c>
      <c r="D16" s="11">
        <v>3</v>
      </c>
      <c r="E16" s="43">
        <f t="shared" si="8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6</v>
      </c>
      <c r="K16" s="44">
        <v>-30</v>
      </c>
      <c r="L16" s="44">
        <v>25</v>
      </c>
      <c r="M16" s="44">
        <v>7</v>
      </c>
      <c r="N16" s="44">
        <v>-4</v>
      </c>
      <c r="O16" s="97">
        <f t="shared" ref="O16:O19" si="9">L10</f>
        <v>-3</v>
      </c>
      <c r="P16" s="97">
        <f t="shared" si="7"/>
        <v>-3</v>
      </c>
      <c r="Q16" s="97">
        <f t="shared" si="7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-27.24</v>
      </c>
      <c r="D17" s="11">
        <v>4</v>
      </c>
      <c r="E17" s="43">
        <f t="shared" si="8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16</v>
      </c>
      <c r="K17" s="51">
        <v>-34</v>
      </c>
      <c r="L17" s="51">
        <v>-34</v>
      </c>
      <c r="M17" s="44">
        <v>-9</v>
      </c>
      <c r="N17" s="44">
        <v>1</v>
      </c>
      <c r="O17" s="97">
        <f t="shared" si="9"/>
        <v>16</v>
      </c>
      <c r="P17" s="97">
        <f t="shared" si="7"/>
        <v>31</v>
      </c>
      <c r="Q17" s="97">
        <f t="shared" si="7"/>
        <v>-34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3.69</v>
      </c>
      <c r="D18" s="11">
        <v>5</v>
      </c>
      <c r="E18" s="43">
        <f t="shared" si="8"/>
        <v>1</v>
      </c>
      <c r="F18" s="44">
        <v>4</v>
      </c>
      <c r="G18" s="44">
        <v>2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97">
        <f t="shared" si="9"/>
        <v>0</v>
      </c>
      <c r="P18" s="97">
        <f t="shared" si="7"/>
        <v>0</v>
      </c>
      <c r="Q18" s="97">
        <f t="shared" si="7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29.71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7</v>
      </c>
      <c r="K19" s="44">
        <v>6</v>
      </c>
      <c r="L19" s="44">
        <v>2</v>
      </c>
      <c r="M19" s="44">
        <v>-2</v>
      </c>
      <c r="N19" s="44">
        <v>-2</v>
      </c>
      <c r="O19" s="97">
        <f t="shared" si="9"/>
        <v>2</v>
      </c>
      <c r="P19" s="97">
        <f t="shared" si="7"/>
        <v>6</v>
      </c>
      <c r="Q19" s="97">
        <f t="shared" si="7"/>
        <v>8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1.93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97">
        <f>-L20</f>
        <v>5</v>
      </c>
      <c r="P20" s="97">
        <f t="shared" ref="P20:Q20" si="10">-M20</f>
        <v>10</v>
      </c>
      <c r="Q20" s="97">
        <f t="shared" si="10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15.03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97">
        <v>0</v>
      </c>
      <c r="P21" s="97">
        <v>0</v>
      </c>
      <c r="Q21" s="97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3.69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97">
        <v>0</v>
      </c>
      <c r="P22" s="97">
        <v>0</v>
      </c>
      <c r="Q22" s="97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34.450000000000003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97">
        <v>0</v>
      </c>
      <c r="P23" s="97">
        <v>0</v>
      </c>
      <c r="Q23" s="97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20.92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97">
        <v>0</v>
      </c>
      <c r="P24" s="97">
        <v>0</v>
      </c>
      <c r="Q24" s="97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0.09</v>
      </c>
      <c r="D25" s="11">
        <v>5</v>
      </c>
      <c r="E25" s="43">
        <f t="shared" ref="E25:E28" si="11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97">
        <v>0</v>
      </c>
      <c r="P25" s="97">
        <v>0</v>
      </c>
      <c r="Q25" s="97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15.64</v>
      </c>
      <c r="D26" s="11">
        <v>6</v>
      </c>
      <c r="E26" s="43">
        <f t="shared" si="11"/>
        <v>1</v>
      </c>
      <c r="F26" s="44">
        <v>2</v>
      </c>
      <c r="G26" s="44">
        <f t="shared" ref="G26:G28" si="12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97">
        <v>0</v>
      </c>
      <c r="P26" s="97">
        <v>0</v>
      </c>
      <c r="Q26" s="97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51.15</v>
      </c>
      <c r="D27" s="11">
        <v>7</v>
      </c>
      <c r="E27" s="43">
        <f t="shared" si="11"/>
        <v>0</v>
      </c>
      <c r="F27" s="44">
        <v>125</v>
      </c>
      <c r="G27" s="44">
        <f t="shared" si="12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97">
        <v>0</v>
      </c>
      <c r="P27" s="97">
        <v>0</v>
      </c>
      <c r="Q27" s="97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38.58</v>
      </c>
      <c r="D28" s="11">
        <v>8</v>
      </c>
      <c r="E28" s="43">
        <f t="shared" si="11"/>
        <v>1</v>
      </c>
      <c r="F28" s="44">
        <v>125</v>
      </c>
      <c r="G28" s="44">
        <f t="shared" si="12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97">
        <v>0</v>
      </c>
      <c r="P28" s="97">
        <v>0</v>
      </c>
      <c r="Q28" s="97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3">K50+J50</f>
        <v>0</v>
      </c>
      <c r="L29" s="38">
        <f t="shared" ref="L29" si="14">L50+K50</f>
        <v>0</v>
      </c>
      <c r="M29" s="38">
        <f t="shared" ref="M29" si="15">M50+L50</f>
        <v>0</v>
      </c>
      <c r="N29" s="38">
        <f t="shared" ref="N29" si="16">N50+M50</f>
        <v>0</v>
      </c>
      <c r="O29" s="97">
        <f t="shared" ref="O29" si="17">O50+N50</f>
        <v>0</v>
      </c>
      <c r="P29" s="97">
        <f t="shared" ref="P29" si="18">P50+O50</f>
        <v>0</v>
      </c>
      <c r="Q29" s="97">
        <f t="shared" ref="Q29" si="19">Q50+P50</f>
        <v>0</v>
      </c>
      <c r="R29" s="38">
        <f t="shared" ref="R29" si="20">R50+Q50</f>
        <v>0</v>
      </c>
      <c r="S29" s="38">
        <f t="shared" ref="S29" si="21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2">J56+I56</f>
        <v>0</v>
      </c>
      <c r="K35" s="44">
        <f t="shared" ref="K35" si="23">K56+J56</f>
        <v>0</v>
      </c>
      <c r="L35" s="44">
        <f t="shared" ref="L35" si="24">L56+K56</f>
        <v>0</v>
      </c>
      <c r="M35" s="44">
        <f t="shared" ref="M35" si="25">M56+L56</f>
        <v>0</v>
      </c>
      <c r="N35" s="44">
        <f t="shared" ref="N35" si="26">N56+M56</f>
        <v>0</v>
      </c>
      <c r="O35" s="44">
        <f>L29</f>
        <v>0</v>
      </c>
      <c r="P35" s="44">
        <f t="shared" ref="P35:S40" si="27">M29</f>
        <v>0</v>
      </c>
      <c r="Q35" s="44">
        <f t="shared" si="27"/>
        <v>0</v>
      </c>
      <c r="R35" s="44">
        <f t="shared" si="27"/>
        <v>0</v>
      </c>
      <c r="S35" s="44">
        <f t="shared" si="27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8">L30</f>
        <v>7</v>
      </c>
      <c r="P36" s="44">
        <f t="shared" si="27"/>
        <v>-3</v>
      </c>
      <c r="Q36" s="44">
        <f t="shared" si="27"/>
        <v>-3</v>
      </c>
      <c r="R36" s="44">
        <f t="shared" si="27"/>
        <v>2</v>
      </c>
      <c r="S36" s="44">
        <f t="shared" si="27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8"/>
        <v>-12</v>
      </c>
      <c r="P37" s="44">
        <f t="shared" si="27"/>
        <v>-15</v>
      </c>
      <c r="Q37" s="44">
        <f t="shared" si="27"/>
        <v>-37</v>
      </c>
      <c r="R37" s="44">
        <f t="shared" si="27"/>
        <v>10</v>
      </c>
      <c r="S37" s="44">
        <f t="shared" si="27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8"/>
        <v>25</v>
      </c>
      <c r="P38" s="44">
        <f t="shared" si="27"/>
        <v>37</v>
      </c>
      <c r="Q38" s="44">
        <f t="shared" si="27"/>
        <v>-23</v>
      </c>
      <c r="R38" s="44">
        <f t="shared" si="27"/>
        <v>-5</v>
      </c>
      <c r="S38" s="44">
        <f t="shared" si="27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8"/>
        <v>0</v>
      </c>
      <c r="P39" s="44">
        <f t="shared" si="27"/>
        <v>0</v>
      </c>
      <c r="Q39" s="44">
        <f t="shared" si="27"/>
        <v>0</v>
      </c>
      <c r="R39" s="44">
        <f t="shared" si="27"/>
        <v>0</v>
      </c>
      <c r="S39" s="44">
        <f t="shared" si="27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8"/>
        <v>-7</v>
      </c>
      <c r="P40" s="44">
        <f t="shared" si="27"/>
        <v>-12</v>
      </c>
      <c r="Q40" s="44">
        <f t="shared" si="27"/>
        <v>5</v>
      </c>
      <c r="R40" s="44">
        <f t="shared" si="27"/>
        <v>3</v>
      </c>
      <c r="S40" s="44">
        <f t="shared" si="27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R18:AB18 R12:AB12 F15:G19 F12:N12 F14:AB14 F8:AB8 H18:N18 O9:Q13 O15:Q19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topLeftCell="A7"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dynamixel</vt:lpstr>
      <vt:lpstr>dynamixel_wake_b</vt:lpstr>
      <vt:lpstr>dynamixel_wake_f</vt:lpstr>
      <vt:lpstr>dynamixel_atk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2024-09-16T05:28:34Z</dcterms:modified>
</cp:coreProperties>
</file>