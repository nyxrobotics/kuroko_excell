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isen\Documents\github\kuroko_excell\"/>
    </mc:Choice>
  </mc:AlternateContent>
  <bookViews>
    <workbookView xWindow="-110" yWindow="-110" windowWidth="23260" windowHeight="13180"/>
  </bookViews>
  <sheets>
    <sheet name="dynamixel" sheetId="35" r:id="rId1"/>
    <sheet name="Atk_R_low" sheetId="27" r:id="rId2"/>
    <sheet name="Atk_R_high" sheetId="26" r:id="rId3"/>
    <sheet name="Atk_B" sheetId="31" r:id="rId4"/>
    <sheet name="Atk_F" sheetId="30" r:id="rId5"/>
    <sheet name="Atk_L_low" sheetId="29" r:id="rId6"/>
    <sheet name="Atk_L_high" sheetId="28" r:id="rId7"/>
    <sheet name="WakeB" sheetId="25" r:id="rId8"/>
    <sheet name="WakeF" sheetId="24" r:id="rId9"/>
    <sheet name="Back" sheetId="33" r:id="rId10"/>
    <sheet name="Walk" sheetId="23" r:id="rId11"/>
    <sheet name="Left" sheetId="13" r:id="rId12"/>
    <sheet name="Right" sheetId="12" r:id="rId13"/>
    <sheet name="LRoll" sheetId="11" r:id="rId14"/>
    <sheet name="RRoll" sheetId="10" r:id="rId15"/>
    <sheet name="COM" sheetId="1" r:id="rId16"/>
    <sheet name="git" sheetId="34" r:id="rId17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35" l="1"/>
  <c r="J4" i="35" s="1"/>
  <c r="K4" i="35" s="1"/>
  <c r="L4" i="35" s="1"/>
  <c r="M4" i="35" s="1"/>
  <c r="N4" i="35" s="1"/>
  <c r="O4" i="35" s="1"/>
  <c r="P4" i="35" s="1"/>
  <c r="Q4" i="35" s="1"/>
  <c r="R4" i="35" s="1"/>
  <c r="S4" i="35" s="1"/>
  <c r="T4" i="35" s="1"/>
  <c r="U4" i="35" s="1"/>
  <c r="V4" i="35" s="1"/>
  <c r="W4" i="35" s="1"/>
  <c r="X4" i="35" s="1"/>
  <c r="Y4" i="35" s="1"/>
  <c r="Z4" i="35" s="1"/>
  <c r="AA4" i="35" s="1"/>
  <c r="AB4" i="35" s="1"/>
  <c r="H25" i="11" l="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E29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E26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E25" i="33"/>
  <c r="E24" i="33"/>
  <c r="E23" i="33"/>
  <c r="E22" i="33"/>
  <c r="E30" i="33" s="1"/>
  <c r="E21" i="33"/>
  <c r="E15" i="33"/>
  <c r="E14" i="33"/>
  <c r="E28" i="33" s="1"/>
  <c r="E13" i="33"/>
  <c r="E27" i="33" s="1"/>
  <c r="E12" i="33"/>
  <c r="P6" i="33"/>
  <c r="O6" i="33"/>
  <c r="N6" i="33"/>
  <c r="P5" i="33"/>
  <c r="O5" i="33"/>
  <c r="N5" i="33"/>
  <c r="I4" i="33"/>
  <c r="J4" i="33" s="1"/>
  <c r="K4" i="33" s="1"/>
  <c r="L4" i="33" s="1"/>
  <c r="M4" i="33" s="1"/>
  <c r="N4" i="33" s="1"/>
  <c r="O4" i="33" s="1"/>
  <c r="P4" i="33" s="1"/>
  <c r="Q4" i="33" l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J35" i="30"/>
  <c r="K35" i="30"/>
  <c r="L35" i="30"/>
  <c r="M35" i="30"/>
  <c r="N35" i="30"/>
  <c r="O35" i="30"/>
  <c r="P35" i="30"/>
  <c r="Q35" i="30"/>
  <c r="J36" i="30"/>
  <c r="K36" i="30"/>
  <c r="L36" i="30"/>
  <c r="M36" i="30"/>
  <c r="N36" i="30"/>
  <c r="O36" i="30"/>
  <c r="P36" i="30"/>
  <c r="Q36" i="30"/>
  <c r="I36" i="30"/>
  <c r="I35" i="30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J45" i="26"/>
  <c r="J44" i="26"/>
  <c r="Z42" i="31" l="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E29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E26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E25" i="31"/>
  <c r="E24" i="31"/>
  <c r="E23" i="31"/>
  <c r="E22" i="31"/>
  <c r="E30" i="31" s="1"/>
  <c r="E21" i="31"/>
  <c r="E15" i="31"/>
  <c r="E14" i="31"/>
  <c r="E28" i="31" s="1"/>
  <c r="E13" i="31"/>
  <c r="E27" i="31" s="1"/>
  <c r="E12" i="31"/>
  <c r="I4" i="31"/>
  <c r="J4" i="31" s="1"/>
  <c r="K4" i="31" s="1"/>
  <c r="L4" i="31" s="1"/>
  <c r="M4" i="31" s="1"/>
  <c r="N4" i="31" s="1"/>
  <c r="O4" i="31" s="1"/>
  <c r="P4" i="31" s="1"/>
  <c r="Q4" i="31" s="1"/>
  <c r="R4" i="31" s="1"/>
  <c r="S4" i="31" s="1"/>
  <c r="T4" i="31" s="1"/>
  <c r="U4" i="31" s="1"/>
  <c r="V4" i="31" s="1"/>
  <c r="W4" i="31" s="1"/>
  <c r="X4" i="31" s="1"/>
  <c r="Y4" i="31" s="1"/>
  <c r="Z4" i="31" s="1"/>
  <c r="AA4" i="31" s="1"/>
  <c r="AB4" i="31" s="1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E29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E27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E26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E25" i="30"/>
  <c r="E24" i="30"/>
  <c r="E23" i="30"/>
  <c r="E22" i="30"/>
  <c r="E30" i="30" s="1"/>
  <c r="E21" i="30"/>
  <c r="E15" i="30"/>
  <c r="E14" i="30"/>
  <c r="E28" i="30" s="1"/>
  <c r="E13" i="30"/>
  <c r="E12" i="30"/>
  <c r="J4" i="30"/>
  <c r="K4" i="30" s="1"/>
  <c r="L4" i="30" s="1"/>
  <c r="M4" i="30" s="1"/>
  <c r="N4" i="30" s="1"/>
  <c r="O4" i="30" s="1"/>
  <c r="P4" i="30" s="1"/>
  <c r="Q4" i="30" s="1"/>
  <c r="R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I4" i="30"/>
  <c r="Z42" i="29" l="1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Z41" i="29"/>
  <c r="Y41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AB29" i="29"/>
  <c r="AA29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E29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E28" i="29"/>
  <c r="AB27" i="29"/>
  <c r="AA27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AB26" i="29"/>
  <c r="AA26" i="29"/>
  <c r="Z26" i="29"/>
  <c r="Y26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E26" i="29"/>
  <c r="AB25" i="29"/>
  <c r="AA25" i="29"/>
  <c r="Z25" i="29"/>
  <c r="Y25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E25" i="29"/>
  <c r="E24" i="29"/>
  <c r="E23" i="29"/>
  <c r="E22" i="29"/>
  <c r="E30" i="29" s="1"/>
  <c r="E21" i="29"/>
  <c r="E15" i="29"/>
  <c r="E14" i="29"/>
  <c r="E13" i="29"/>
  <c r="E27" i="29" s="1"/>
  <c r="E12" i="29"/>
  <c r="I4" i="29"/>
  <c r="J4" i="29" s="1"/>
  <c r="K4" i="29" s="1"/>
  <c r="L4" i="29" s="1"/>
  <c r="M4" i="29" s="1"/>
  <c r="N4" i="29" s="1"/>
  <c r="O4" i="29" s="1"/>
  <c r="P4" i="29" s="1"/>
  <c r="Q4" i="29" s="1"/>
  <c r="R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Z42" i="28"/>
  <c r="Y42" i="28"/>
  <c r="X42" i="28"/>
  <c r="W42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AB30" i="28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E29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E26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E25" i="28"/>
  <c r="E24" i="28"/>
  <c r="E23" i="28"/>
  <c r="E22" i="28"/>
  <c r="E30" i="28" s="1"/>
  <c r="E21" i="28"/>
  <c r="E15" i="28"/>
  <c r="E14" i="28"/>
  <c r="E28" i="28" s="1"/>
  <c r="E13" i="28"/>
  <c r="E27" i="28" s="1"/>
  <c r="E12" i="28"/>
  <c r="I4" i="28"/>
  <c r="J4" i="28" s="1"/>
  <c r="K4" i="28" s="1"/>
  <c r="L4" i="28" s="1"/>
  <c r="M4" i="28" s="1"/>
  <c r="N4" i="28" s="1"/>
  <c r="O4" i="28" s="1"/>
  <c r="P4" i="28" s="1"/>
  <c r="Q4" i="28" s="1"/>
  <c r="R4" i="28" s="1"/>
  <c r="S4" i="28" s="1"/>
  <c r="T4" i="28" s="1"/>
  <c r="U4" i="28" s="1"/>
  <c r="V4" i="28" s="1"/>
  <c r="W4" i="28" s="1"/>
  <c r="X4" i="28" s="1"/>
  <c r="Y4" i="28" s="1"/>
  <c r="Z4" i="28" s="1"/>
  <c r="AA4" i="28" s="1"/>
  <c r="AB4" i="28" s="1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E29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E27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E26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E25" i="27"/>
  <c r="E24" i="27"/>
  <c r="E23" i="27"/>
  <c r="E22" i="27"/>
  <c r="E30" i="27" s="1"/>
  <c r="E21" i="27"/>
  <c r="E15" i="27"/>
  <c r="E14" i="27"/>
  <c r="E28" i="27" s="1"/>
  <c r="E13" i="27"/>
  <c r="E12" i="27"/>
  <c r="I4" i="27"/>
  <c r="J4" i="27" s="1"/>
  <c r="K4" i="27" s="1"/>
  <c r="L4" i="27" s="1"/>
  <c r="M4" i="27" s="1"/>
  <c r="N4" i="27" s="1"/>
  <c r="O4" i="27" s="1"/>
  <c r="P4" i="27" s="1"/>
  <c r="Q4" i="27" s="1"/>
  <c r="R4" i="27" s="1"/>
  <c r="S4" i="27" s="1"/>
  <c r="T4" i="27" s="1"/>
  <c r="U4" i="27" s="1"/>
  <c r="V4" i="27" s="1"/>
  <c r="W4" i="27" s="1"/>
  <c r="X4" i="27" s="1"/>
  <c r="Y4" i="27" s="1"/>
  <c r="Z4" i="27" s="1"/>
  <c r="AA4" i="27" s="1"/>
  <c r="AB4" i="27" s="1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E29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E26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E25" i="26"/>
  <c r="E24" i="26"/>
  <c r="E23" i="26"/>
  <c r="E22" i="26"/>
  <c r="E30" i="26" s="1"/>
  <c r="E21" i="26"/>
  <c r="E15" i="26"/>
  <c r="E14" i="26"/>
  <c r="E28" i="26" s="1"/>
  <c r="E13" i="26"/>
  <c r="E27" i="26" s="1"/>
  <c r="E12" i="26"/>
  <c r="I4" i="26"/>
  <c r="J4" i="26" s="1"/>
  <c r="K4" i="26" s="1"/>
  <c r="L4" i="26" s="1"/>
  <c r="M4" i="26" s="1"/>
  <c r="N4" i="26" s="1"/>
  <c r="O4" i="26" s="1"/>
  <c r="P4" i="26" s="1"/>
  <c r="Q4" i="26" s="1"/>
  <c r="R4" i="26" s="1"/>
  <c r="S4" i="26" s="1"/>
  <c r="T4" i="26" s="1"/>
  <c r="U4" i="26" s="1"/>
  <c r="V4" i="26" s="1"/>
  <c r="W4" i="26" s="1"/>
  <c r="X4" i="26" s="1"/>
  <c r="Y4" i="26" s="1"/>
  <c r="Z4" i="26" s="1"/>
  <c r="AA4" i="26" s="1"/>
  <c r="AB4" i="26" s="1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E29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E26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E25" i="25"/>
  <c r="E24" i="25"/>
  <c r="E23" i="25"/>
  <c r="E22" i="25"/>
  <c r="E30" i="25" s="1"/>
  <c r="E21" i="25"/>
  <c r="E15" i="25"/>
  <c r="E14" i="25"/>
  <c r="E28" i="25" s="1"/>
  <c r="E13" i="25"/>
  <c r="E27" i="25" s="1"/>
  <c r="E12" i="25"/>
  <c r="I4" i="25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E29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E28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E26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E25" i="24"/>
  <c r="E24" i="24"/>
  <c r="E23" i="24"/>
  <c r="E22" i="24"/>
  <c r="E30" i="24" s="1"/>
  <c r="E21" i="24"/>
  <c r="E15" i="24"/>
  <c r="E14" i="24"/>
  <c r="E13" i="24"/>
  <c r="E27" i="24" s="1"/>
  <c r="E12" i="24"/>
  <c r="I4" i="24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K35" i="23" l="1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J41" i="23"/>
  <c r="J40" i="23"/>
  <c r="J37" i="23"/>
  <c r="J36" i="23"/>
  <c r="J38" i="23"/>
  <c r="J39" i="23"/>
  <c r="J42" i="23"/>
  <c r="J35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E29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E26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E25" i="23"/>
  <c r="E24" i="23"/>
  <c r="E23" i="23"/>
  <c r="E22" i="23"/>
  <c r="E30" i="23" s="1"/>
  <c r="E21" i="23"/>
  <c r="E15" i="23"/>
  <c r="E14" i="23"/>
  <c r="E28" i="23" s="1"/>
  <c r="E13" i="23"/>
  <c r="E27" i="23" s="1"/>
  <c r="E12" i="23"/>
  <c r="I4" i="23"/>
  <c r="J4" i="23" s="1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H25" i="13" l="1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G30" i="13" l="1"/>
  <c r="G29" i="13"/>
  <c r="E29" i="13"/>
  <c r="G28" i="13"/>
  <c r="G27" i="13"/>
  <c r="G26" i="13"/>
  <c r="E26" i="13"/>
  <c r="G25" i="13"/>
  <c r="E25" i="13"/>
  <c r="E24" i="13"/>
  <c r="E23" i="13"/>
  <c r="E22" i="13"/>
  <c r="E30" i="13" s="1"/>
  <c r="E21" i="13"/>
  <c r="E15" i="13"/>
  <c r="E14" i="13"/>
  <c r="E28" i="13" s="1"/>
  <c r="E13" i="13"/>
  <c r="E27" i="13" s="1"/>
  <c r="E12" i="13"/>
  <c r="I4" i="13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G30" i="12"/>
  <c r="G29" i="12"/>
  <c r="E29" i="12"/>
  <c r="G28" i="12"/>
  <c r="G27" i="12"/>
  <c r="G26" i="12"/>
  <c r="E26" i="12"/>
  <c r="G25" i="12"/>
  <c r="E25" i="12"/>
  <c r="E24" i="12"/>
  <c r="E23" i="12"/>
  <c r="E22" i="12"/>
  <c r="E30" i="12" s="1"/>
  <c r="E21" i="12"/>
  <c r="E15" i="12"/>
  <c r="E14" i="12"/>
  <c r="E28" i="12" s="1"/>
  <c r="E13" i="12"/>
  <c r="E27" i="12" s="1"/>
  <c r="E12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G30" i="11" l="1"/>
  <c r="G29" i="11"/>
  <c r="E29" i="11"/>
  <c r="G28" i="11"/>
  <c r="G27" i="11"/>
  <c r="G26" i="11"/>
  <c r="E26" i="11"/>
  <c r="G25" i="11"/>
  <c r="E25" i="11"/>
  <c r="E24" i="11"/>
  <c r="E23" i="11"/>
  <c r="E22" i="11"/>
  <c r="E30" i="11" s="1"/>
  <c r="E21" i="11"/>
  <c r="E15" i="11"/>
  <c r="E14" i="11"/>
  <c r="E28" i="11" s="1"/>
  <c r="E13" i="11"/>
  <c r="E27" i="11" s="1"/>
  <c r="E12" i="11"/>
  <c r="I4" i="1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G30" i="10"/>
  <c r="G29" i="10"/>
  <c r="E29" i="10"/>
  <c r="G28" i="10"/>
  <c r="G27" i="10"/>
  <c r="G26" i="10"/>
  <c r="E26" i="10"/>
  <c r="G25" i="10"/>
  <c r="E25" i="10"/>
  <c r="E24" i="10"/>
  <c r="E23" i="10"/>
  <c r="E22" i="10"/>
  <c r="E30" i="10" s="1"/>
  <c r="E21" i="10"/>
  <c r="E15" i="10"/>
  <c r="E14" i="10"/>
  <c r="E28" i="10" s="1"/>
  <c r="E13" i="10"/>
  <c r="E27" i="10" s="1"/>
  <c r="E12" i="10"/>
  <c r="I4" i="10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</calcChain>
</file>

<file path=xl/comments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9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0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6.xml><?xml version="1.0" encoding="utf-8"?>
<comments xmlns="http://schemas.openxmlformats.org/spreadsheetml/2006/main">
  <authors>
    <author>NYX</author>
  </authors>
  <commentList>
    <comment ref="B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n:none
e:even
o:odd</t>
        </r>
      </text>
    </comment>
  </commentList>
</comments>
</file>

<file path=xl/sharedStrings.xml><?xml version="1.0" encoding="utf-8"?>
<sst xmlns="http://schemas.openxmlformats.org/spreadsheetml/2006/main" count="1243" uniqueCount="96">
  <si>
    <t>LOOP</t>
    <phoneticPr fontId="1"/>
  </si>
  <si>
    <t>Comment</t>
    <phoneticPr fontId="1"/>
  </si>
  <si>
    <t>Moving</t>
    <phoneticPr fontId="1"/>
  </si>
  <si>
    <t>Waiting</t>
    <phoneticPr fontId="1"/>
  </si>
  <si>
    <t>Name</t>
    <phoneticPr fontId="1"/>
  </si>
  <si>
    <t>ID</t>
    <phoneticPr fontId="1"/>
  </si>
  <si>
    <t>左右の組</t>
    <rPh sb="0" eb="2">
      <t>サユウ</t>
    </rPh>
    <rPh sb="3" eb="4">
      <t>クミ</t>
    </rPh>
    <phoneticPr fontId="1"/>
  </si>
  <si>
    <t>右足首</t>
    <rPh sb="0" eb="3">
      <t>ミギアシクビ</t>
    </rPh>
    <phoneticPr fontId="2"/>
  </si>
  <si>
    <t>右足下</t>
    <rPh sb="0" eb="2">
      <t>ミギアシ</t>
    </rPh>
    <rPh sb="2" eb="3">
      <t>シタ</t>
    </rPh>
    <phoneticPr fontId="2"/>
  </si>
  <si>
    <t>右足上</t>
    <rPh sb="0" eb="2">
      <t>ミギアシ</t>
    </rPh>
    <rPh sb="2" eb="3">
      <t>ウエ</t>
    </rPh>
    <phoneticPr fontId="2"/>
  </si>
  <si>
    <t>右腿</t>
    <rPh sb="0" eb="1">
      <t>ミギ</t>
    </rPh>
    <rPh sb="1" eb="2">
      <t>モモ</t>
    </rPh>
    <phoneticPr fontId="2"/>
  </si>
  <si>
    <t>左足首</t>
    <rPh sb="0" eb="3">
      <t>ヒダリアシクビ</t>
    </rPh>
    <phoneticPr fontId="2"/>
  </si>
  <si>
    <t>左足下</t>
    <rPh sb="0" eb="2">
      <t>ヒダリアシ</t>
    </rPh>
    <rPh sb="2" eb="3">
      <t>シタ</t>
    </rPh>
    <phoneticPr fontId="2"/>
  </si>
  <si>
    <t>左足上</t>
    <rPh sb="0" eb="2">
      <t>ヒダリアシ</t>
    </rPh>
    <rPh sb="2" eb="3">
      <t>ウエ</t>
    </rPh>
    <phoneticPr fontId="2"/>
  </si>
  <si>
    <t>左腿</t>
    <rPh sb="0" eb="1">
      <t>ヒダリ</t>
    </rPh>
    <rPh sb="1" eb="2">
      <t>モモ</t>
    </rPh>
    <phoneticPr fontId="2"/>
  </si>
  <si>
    <t>腰</t>
    <rPh sb="0" eb="1">
      <t>コシ</t>
    </rPh>
    <phoneticPr fontId="2"/>
  </si>
  <si>
    <t>右肩P</t>
    <rPh sb="0" eb="2">
      <t>ミギカタ</t>
    </rPh>
    <phoneticPr fontId="2"/>
  </si>
  <si>
    <t>右肩R</t>
    <rPh sb="0" eb="2">
      <t>ミギカタ</t>
    </rPh>
    <phoneticPr fontId="2"/>
  </si>
  <si>
    <t>右肘後</t>
    <rPh sb="0" eb="1">
      <t>ミギ</t>
    </rPh>
    <rPh sb="1" eb="2">
      <t>ヒジ</t>
    </rPh>
    <rPh sb="2" eb="3">
      <t>ウシ</t>
    </rPh>
    <phoneticPr fontId="2"/>
  </si>
  <si>
    <t>右肘前</t>
    <rPh sb="0" eb="1">
      <t>ミギ</t>
    </rPh>
    <rPh sb="1" eb="2">
      <t>ヒジ</t>
    </rPh>
    <rPh sb="2" eb="3">
      <t>マエ</t>
    </rPh>
    <phoneticPr fontId="2"/>
  </si>
  <si>
    <t>左肩P</t>
    <rPh sb="0" eb="2">
      <t>ヒダリカタ</t>
    </rPh>
    <phoneticPr fontId="2"/>
  </si>
  <si>
    <t>左肩R</t>
    <rPh sb="0" eb="1">
      <t>ヒダリ</t>
    </rPh>
    <rPh sb="1" eb="2">
      <t>カタ</t>
    </rPh>
    <phoneticPr fontId="2"/>
  </si>
  <si>
    <t>左肘前</t>
    <rPh sb="0" eb="1">
      <t>ヒダリ</t>
    </rPh>
    <rPh sb="1" eb="2">
      <t>ヒジ</t>
    </rPh>
    <rPh sb="2" eb="3">
      <t>マエ</t>
    </rPh>
    <phoneticPr fontId="2"/>
  </si>
  <si>
    <t>COM</t>
    <phoneticPr fontId="1"/>
  </si>
  <si>
    <t>Baud</t>
    <phoneticPr fontId="1"/>
  </si>
  <si>
    <t>Parity</t>
    <phoneticPr fontId="1"/>
  </si>
  <si>
    <t>Length</t>
    <phoneticPr fontId="1"/>
  </si>
  <si>
    <t>Stop</t>
    <phoneticPr fontId="1"/>
  </si>
  <si>
    <t>n</t>
    <phoneticPr fontId="1"/>
  </si>
  <si>
    <t>WaitTime[ms]</t>
    <phoneticPr fontId="1"/>
  </si>
  <si>
    <t>Received</t>
    <phoneticPr fontId="1"/>
  </si>
  <si>
    <t>×Times</t>
    <phoneticPr fontId="1"/>
  </si>
  <si>
    <t>Reverse</t>
    <phoneticPr fontId="1"/>
  </si>
  <si>
    <t>Home</t>
    <phoneticPr fontId="1"/>
  </si>
  <si>
    <t>FLAG</t>
    <phoneticPr fontId="1"/>
  </si>
  <si>
    <t>左肘後</t>
    <rPh sb="0" eb="1">
      <t>ヒダリ</t>
    </rPh>
    <rPh sb="1" eb="2">
      <t>ヒジ</t>
    </rPh>
    <rPh sb="2" eb="3">
      <t>アト</t>
    </rPh>
    <phoneticPr fontId="2"/>
  </si>
  <si>
    <r>
      <t>Time</t>
    </r>
    <r>
      <rPr>
        <sz val="8"/>
        <color theme="1"/>
        <rFont val="ＭＳ ゴシック"/>
        <family val="3"/>
        <charset val="128"/>
      </rPr>
      <t xml:space="preserve">x10ms </t>
    </r>
    <phoneticPr fontId="1"/>
  </si>
  <si>
    <t>Number</t>
    <phoneticPr fontId="1"/>
  </si>
  <si>
    <t>a</t>
    <phoneticPr fontId="1"/>
  </si>
  <si>
    <t>-</t>
    <phoneticPr fontId="1"/>
  </si>
  <si>
    <t>+</t>
    <phoneticPr fontId="1"/>
  </si>
  <si>
    <t>-</t>
    <phoneticPr fontId="1"/>
  </si>
  <si>
    <t>+</t>
    <phoneticPr fontId="1"/>
  </si>
  <si>
    <t>Mode</t>
    <phoneticPr fontId="1"/>
  </si>
  <si>
    <t>m</t>
    <phoneticPr fontId="1"/>
  </si>
  <si>
    <t>o</t>
    <phoneticPr fontId="1"/>
  </si>
  <si>
    <t>l</t>
    <phoneticPr fontId="1"/>
  </si>
  <si>
    <t>n</t>
    <phoneticPr fontId="1"/>
  </si>
  <si>
    <t>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</si>
  <si>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</si>
  <si>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</si>
  <si>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</si>
  <si>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</si>
  <si>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</si>
  <si>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</si>
  <si>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</si>
  <si>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</si>
  <si>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</si>
  <si>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</si>
  <si>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</si>
  <si>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+</t>
  </si>
  <si>
    <t>-</t>
  </si>
  <si>
    <t>測定値</t>
    <rPh sb="0" eb="3">
      <t>ソクテイチ</t>
    </rPh>
    <phoneticPr fontId="1"/>
  </si>
  <si>
    <t>l</t>
    <phoneticPr fontId="1"/>
  </si>
  <si>
    <t>k</t>
    <phoneticPr fontId="1"/>
  </si>
  <si>
    <t>j</t>
    <phoneticPr fontId="1"/>
  </si>
  <si>
    <t>i</t>
    <phoneticPr fontId="1"/>
  </si>
  <si>
    <t>h</t>
    <phoneticPr fontId="1"/>
  </si>
  <si>
    <t>g</t>
    <phoneticPr fontId="1"/>
  </si>
  <si>
    <t>f</t>
    <phoneticPr fontId="1"/>
  </si>
  <si>
    <t>r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</si>
  <si>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</si>
  <si>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</si>
  <si>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</si>
  <si>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</si>
  <si>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a</t>
    <phoneticPr fontId="1"/>
  </si>
  <si>
    <t>d</t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</si>
  <si>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</si>
  <si>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</si>
  <si>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</si>
  <si>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</si>
  <si>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</si>
  <si>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</si>
  <si>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</si>
  <si>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「ファイル」</t>
  </si>
  <si>
    <t>→「オプション」</t>
  </si>
  <si>
    <t>→「セキュリティ センター」</t>
  </si>
  <si>
    <t>→「セキュリティ センターの設定」（ボタン）</t>
  </si>
  <si>
    <t>→「マクロの設定」</t>
  </si>
  <si>
    <t>→「VBA プロジェクト オブジェクト モデルへのアクセスを信頼する」のチェックボックスをオンにする</t>
  </si>
  <si>
    <t>Port Config</t>
    <phoneticPr fontId="1"/>
  </si>
  <si>
    <t>Free Packet</t>
    <phoneticPr fontId="1"/>
  </si>
  <si>
    <t>FF</t>
    <phoneticPr fontId="1"/>
  </si>
  <si>
    <t>FF</t>
    <phoneticPr fontId="1"/>
  </si>
  <si>
    <t>FD</t>
    <phoneticPr fontId="1"/>
  </si>
  <si>
    <t>DB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</si>
</sst>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);\(0\)"/>
    <numFmt numFmtId="177" formatCode="0.0_ "/>
    <numFmt numFmtId="178" formatCode="0_ "/>
  </numFmts>
  <fonts count="2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theme="3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theme="4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8"/>
      <color indexed="81"/>
      <name val="ＭＳ Ｐゴシック"/>
      <family val="3"/>
      <charset val="128"/>
    </font>
    <font>
      <sz val="7"/>
      <color theme="1"/>
      <name val="Consolas"/>
      <family val="3"/>
    </font>
    <font>
      <b/>
      <sz val="11"/>
      <color theme="1"/>
      <name val="ＭＳ Ｐゴシック"/>
      <family val="3"/>
      <charset val="128"/>
      <scheme val="minor"/>
    </font>
    <font>
      <b/>
      <sz val="9"/>
      <color theme="1"/>
      <name val="Times New Roman"/>
      <family val="1"/>
    </font>
    <font>
      <b/>
      <sz val="6"/>
      <color theme="1"/>
      <name val="Times New Roman"/>
      <family val="1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8" fontId="0" fillId="13" borderId="4" xfId="0" applyNumberFormat="1" applyFont="1" applyFill="1" applyBorder="1" applyAlignment="1">
      <alignment horizontal="right" vertical="center"/>
    </xf>
    <xf numFmtId="178" fontId="3" fillId="13" borderId="4" xfId="0" applyNumberFormat="1" applyFont="1" applyFill="1" applyBorder="1" applyAlignment="1">
      <alignment horizontal="right" vertical="center"/>
    </xf>
    <xf numFmtId="178" fontId="3" fillId="15" borderId="4" xfId="0" applyNumberFormat="1" applyFont="1" applyFill="1" applyBorder="1" applyAlignment="1">
      <alignment horizontal="center" vertical="center"/>
    </xf>
    <xf numFmtId="176" fontId="3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right" vertical="center"/>
    </xf>
    <xf numFmtId="176" fontId="0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center" vertical="center"/>
    </xf>
    <xf numFmtId="178" fontId="3" fillId="15" borderId="4" xfId="0" applyNumberFormat="1" applyFont="1" applyFill="1" applyBorder="1" applyAlignment="1">
      <alignment horizontal="right" vertical="center"/>
    </xf>
    <xf numFmtId="178" fontId="6" fillId="10" borderId="4" xfId="0" applyNumberFormat="1" applyFont="1" applyFill="1" applyBorder="1" applyAlignment="1">
      <alignment horizontal="center" vertical="center"/>
    </xf>
    <xf numFmtId="178" fontId="6" fillId="11" borderId="4" xfId="0" applyNumberFormat="1" applyFont="1" applyFill="1" applyBorder="1" applyAlignment="1">
      <alignment horizontal="center" vertical="center"/>
    </xf>
    <xf numFmtId="178" fontId="6" fillId="12" borderId="4" xfId="0" applyNumberFormat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176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right" vertical="center"/>
    </xf>
    <xf numFmtId="0" fontId="7" fillId="2" borderId="1" xfId="0" applyFont="1" applyFill="1" applyBorder="1">
      <alignment vertical="center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177" fontId="7" fillId="0" borderId="0" xfId="0" applyNumberFormat="1" applyFont="1" applyAlignment="1">
      <alignment horizontal="right" vertical="center"/>
    </xf>
    <xf numFmtId="177" fontId="7" fillId="3" borderId="0" xfId="0" applyNumberFormat="1" applyFont="1" applyFill="1" applyAlignment="1">
      <alignment horizontal="right" vertical="center"/>
    </xf>
    <xf numFmtId="177" fontId="7" fillId="0" borderId="0" xfId="0" applyNumberFormat="1" applyFont="1">
      <alignment vertical="center"/>
    </xf>
    <xf numFmtId="176" fontId="7" fillId="0" borderId="0" xfId="0" applyNumberFormat="1" applyFont="1" applyBorder="1" applyAlignment="1">
      <alignment horizontal="center" vertical="center"/>
    </xf>
    <xf numFmtId="177" fontId="7" fillId="4" borderId="0" xfId="0" applyNumberFormat="1" applyFont="1" applyFill="1" applyAlignment="1">
      <alignment horizontal="right" vertical="center"/>
    </xf>
    <xf numFmtId="177" fontId="7" fillId="5" borderId="0" xfId="0" applyNumberFormat="1" applyFont="1" applyFill="1" applyAlignment="1">
      <alignment horizontal="right" vertical="center"/>
    </xf>
    <xf numFmtId="177" fontId="7" fillId="6" borderId="0" xfId="0" applyNumberFormat="1" applyFont="1" applyFill="1" applyAlignment="1">
      <alignment horizontal="right" vertical="center"/>
    </xf>
    <xf numFmtId="177" fontId="7" fillId="8" borderId="0" xfId="0" applyNumberFormat="1" applyFont="1" applyFill="1" applyAlignment="1">
      <alignment horizontal="right" vertical="center"/>
    </xf>
    <xf numFmtId="177" fontId="7" fillId="0" borderId="4" xfId="0" applyNumberFormat="1" applyFont="1" applyBorder="1" applyAlignment="1">
      <alignment horizontal="right" vertical="center"/>
    </xf>
    <xf numFmtId="176" fontId="7" fillId="0" borderId="4" xfId="0" applyNumberFormat="1" applyFont="1" applyBorder="1" applyAlignment="1">
      <alignment horizontal="center" vertical="center"/>
    </xf>
    <xf numFmtId="0" fontId="7" fillId="9" borderId="4" xfId="0" applyFont="1" applyFill="1" applyBorder="1">
      <alignment vertical="center"/>
    </xf>
    <xf numFmtId="0" fontId="13" fillId="12" borderId="4" xfId="0" applyFont="1" applyFill="1" applyBorder="1" applyAlignment="1">
      <alignment horizontal="center" vertical="center"/>
    </xf>
    <xf numFmtId="177" fontId="13" fillId="14" borderId="4" xfId="0" applyNumberFormat="1" applyFont="1" applyFill="1" applyBorder="1" applyAlignment="1">
      <alignment horizontal="center" vertical="center"/>
    </xf>
    <xf numFmtId="177" fontId="7" fillId="7" borderId="4" xfId="0" applyNumberFormat="1" applyFont="1" applyFill="1" applyBorder="1" applyAlignment="1">
      <alignment horizontal="right" vertical="center"/>
    </xf>
    <xf numFmtId="178" fontId="13" fillId="0" borderId="4" xfId="0" applyNumberFormat="1" applyFont="1" applyBorder="1" applyAlignment="1">
      <alignment horizontal="center" vertical="center"/>
    </xf>
    <xf numFmtId="177" fontId="7" fillId="10" borderId="4" xfId="0" applyNumberFormat="1" applyFont="1" applyFill="1" applyBorder="1" applyAlignment="1">
      <alignment horizontal="right" vertical="center"/>
    </xf>
    <xf numFmtId="176" fontId="14" fillId="10" borderId="4" xfId="0" applyNumberFormat="1" applyFont="1" applyFill="1" applyBorder="1" applyAlignment="1">
      <alignment horizontal="center" vertical="center"/>
    </xf>
    <xf numFmtId="177" fontId="8" fillId="10" borderId="4" xfId="0" applyNumberFormat="1" applyFont="1" applyFill="1" applyBorder="1" applyAlignment="1">
      <alignment horizontal="right" vertical="center"/>
    </xf>
    <xf numFmtId="178" fontId="14" fillId="10" borderId="4" xfId="0" applyNumberFormat="1" applyFont="1" applyFill="1" applyBorder="1" applyAlignment="1">
      <alignment horizontal="center" vertical="center"/>
    </xf>
    <xf numFmtId="177" fontId="14" fillId="10" borderId="4" xfId="0" applyNumberFormat="1" applyFont="1" applyFill="1" applyBorder="1" applyAlignment="1">
      <alignment horizontal="right" vertical="center"/>
    </xf>
    <xf numFmtId="176" fontId="14" fillId="10" borderId="4" xfId="0" quotePrefix="1" applyNumberFormat="1" applyFont="1" applyFill="1" applyBorder="1" applyAlignment="1">
      <alignment horizontal="center" vertical="center"/>
    </xf>
    <xf numFmtId="177" fontId="7" fillId="11" borderId="4" xfId="0" applyNumberFormat="1" applyFont="1" applyFill="1" applyBorder="1" applyAlignment="1">
      <alignment horizontal="right" vertical="center"/>
    </xf>
    <xf numFmtId="176" fontId="14" fillId="11" borderId="4" xfId="0" quotePrefix="1" applyNumberFormat="1" applyFont="1" applyFill="1" applyBorder="1" applyAlignment="1">
      <alignment horizontal="center" vertical="center"/>
    </xf>
    <xf numFmtId="177" fontId="8" fillId="11" borderId="4" xfId="0" applyNumberFormat="1" applyFont="1" applyFill="1" applyBorder="1" applyAlignment="1">
      <alignment horizontal="right" vertical="center"/>
    </xf>
    <xf numFmtId="178" fontId="12" fillId="11" borderId="4" xfId="0" applyNumberFormat="1" applyFont="1" applyFill="1" applyBorder="1" applyAlignment="1">
      <alignment horizontal="center" vertical="center"/>
    </xf>
    <xf numFmtId="177" fontId="14" fillId="11" borderId="4" xfId="0" applyNumberFormat="1" applyFont="1" applyFill="1" applyBorder="1" applyAlignment="1">
      <alignment horizontal="right" vertical="center"/>
    </xf>
    <xf numFmtId="176" fontId="14" fillId="11" borderId="4" xfId="0" applyNumberFormat="1" applyFont="1" applyFill="1" applyBorder="1" applyAlignment="1">
      <alignment horizontal="center" vertical="center"/>
    </xf>
    <xf numFmtId="176" fontId="7" fillId="11" borderId="4" xfId="0" applyNumberFormat="1" applyFont="1" applyFill="1" applyBorder="1" applyAlignment="1">
      <alignment horizontal="center" vertical="center"/>
    </xf>
    <xf numFmtId="177" fontId="7" fillId="12" borderId="4" xfId="0" applyNumberFormat="1" applyFont="1" applyFill="1" applyBorder="1" applyAlignment="1">
      <alignment horizontal="right" vertical="center"/>
    </xf>
    <xf numFmtId="176" fontId="14" fillId="12" borderId="4" xfId="0" applyNumberFormat="1" applyFont="1" applyFill="1" applyBorder="1" applyAlignment="1">
      <alignment horizontal="center" vertical="center"/>
    </xf>
    <xf numFmtId="177" fontId="8" fillId="12" borderId="4" xfId="0" applyNumberFormat="1" applyFont="1" applyFill="1" applyBorder="1" applyAlignment="1">
      <alignment horizontal="right" vertical="center"/>
    </xf>
    <xf numFmtId="178" fontId="14" fillId="12" borderId="4" xfId="0" applyNumberFormat="1" applyFont="1" applyFill="1" applyBorder="1" applyAlignment="1">
      <alignment horizontal="center" vertical="center"/>
    </xf>
    <xf numFmtId="177" fontId="14" fillId="12" borderId="4" xfId="0" applyNumberFormat="1" applyFont="1" applyFill="1" applyBorder="1" applyAlignment="1">
      <alignment horizontal="right" vertical="center"/>
    </xf>
    <xf numFmtId="177" fontId="7" fillId="15" borderId="4" xfId="0" applyNumberFormat="1" applyFont="1" applyFill="1" applyBorder="1" applyAlignment="1">
      <alignment horizontal="right" vertical="center"/>
    </xf>
    <xf numFmtId="176" fontId="14" fillId="15" borderId="4" xfId="0" applyNumberFormat="1" applyFont="1" applyFill="1" applyBorder="1" applyAlignment="1">
      <alignment horizontal="center" vertical="center"/>
    </xf>
    <xf numFmtId="177" fontId="8" fillId="15" borderId="4" xfId="0" applyNumberFormat="1" applyFont="1" applyFill="1" applyBorder="1" applyAlignment="1">
      <alignment horizontal="right" vertical="center"/>
    </xf>
    <xf numFmtId="177" fontId="14" fillId="15" borderId="4" xfId="0" applyNumberFormat="1" applyFont="1" applyFill="1" applyBorder="1" applyAlignment="1">
      <alignment horizontal="center" vertical="center"/>
    </xf>
    <xf numFmtId="178" fontId="14" fillId="15" borderId="4" xfId="0" applyNumberFormat="1" applyFont="1" applyFill="1" applyBorder="1" applyAlignment="1">
      <alignment horizontal="center" vertical="center"/>
    </xf>
    <xf numFmtId="177" fontId="14" fillId="15" borderId="4" xfId="0" applyNumberFormat="1" applyFont="1" applyFill="1" applyBorder="1" applyAlignment="1">
      <alignment horizontal="right" vertical="center"/>
    </xf>
    <xf numFmtId="177" fontId="14" fillId="13" borderId="4" xfId="0" applyNumberFormat="1" applyFont="1" applyFill="1" applyBorder="1" applyAlignment="1">
      <alignment horizontal="right" vertical="center"/>
    </xf>
    <xf numFmtId="0" fontId="7" fillId="0" borderId="0" xfId="0" applyFont="1" applyBorder="1">
      <alignment vertical="center"/>
    </xf>
    <xf numFmtId="177" fontId="7" fillId="0" borderId="0" xfId="0" applyNumberFormat="1" applyFont="1" applyBorder="1" applyAlignment="1">
      <alignment horizontal="right" vertical="center"/>
    </xf>
    <xf numFmtId="177" fontId="10" fillId="0" borderId="0" xfId="0" applyNumberFormat="1" applyFont="1" applyAlignment="1">
      <alignment horizontal="center" vertical="center"/>
    </xf>
    <xf numFmtId="178" fontId="12" fillId="5" borderId="0" xfId="0" applyNumberFormat="1" applyFont="1" applyFill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0" fontId="7" fillId="6" borderId="4" xfId="0" applyFont="1" applyFill="1" applyBorder="1">
      <alignment vertical="center"/>
    </xf>
    <xf numFmtId="176" fontId="7" fillId="17" borderId="4" xfId="0" applyNumberFormat="1" applyFont="1" applyFill="1" applyBorder="1" applyAlignment="1">
      <alignment horizontal="center" vertical="center"/>
    </xf>
    <xf numFmtId="178" fontId="9" fillId="16" borderId="4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0" borderId="0" xfId="0" applyFont="1">
      <alignment vertical="center"/>
    </xf>
    <xf numFmtId="0" fontId="0" fillId="0" borderId="0" xfId="0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16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20" fillId="12" borderId="18" xfId="0" applyFont="1" applyFill="1" applyBorder="1" applyAlignment="1">
      <alignment horizontal="left" vertical="center"/>
    </xf>
    <xf numFmtId="0" fontId="19" fillId="12" borderId="15" xfId="0" applyFont="1" applyFill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9" fillId="12" borderId="18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18" fillId="0" borderId="13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219200" y="1006475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0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0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0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0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0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0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0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0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0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0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1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1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1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1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1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1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1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1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1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1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1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1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1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1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2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2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2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3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3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3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3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3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3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3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3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3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3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3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3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3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3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3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3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3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3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3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3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3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3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3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3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4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4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4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4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4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4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4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5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5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5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5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5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5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5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5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5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5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5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5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5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5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5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5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5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5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6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6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6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6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6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6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6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6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6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6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6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6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6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6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7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7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7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7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7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7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7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7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7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7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7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7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7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7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7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7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7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7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7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7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7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7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7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7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7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7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7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7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8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8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8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8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8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8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8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8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8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8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8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8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8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8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8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8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8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8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8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8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8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8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8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8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8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8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8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5</xdr:row>
      <xdr:rowOff>1</xdr:rowOff>
    </xdr:from>
    <xdr:to>
      <xdr:col>3</xdr:col>
      <xdr:colOff>0</xdr:colOff>
      <xdr:row>6</xdr:row>
      <xdr:rowOff>1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SpPr/>
      </xdr:nvSpPr>
      <xdr:spPr>
        <a:xfrm>
          <a:off x="1371600" y="866776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A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A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A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A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A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A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A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A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A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A00-000013000000}"/>
            </a:ext>
          </a:extLst>
        </xdr:cNvPr>
        <xdr:cNvSpPr/>
      </xdr:nvSpPr>
      <xdr:spPr>
        <a:xfrm>
          <a:off x="13716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A00-000014000000}"/>
            </a:ext>
          </a:extLst>
        </xdr:cNvPr>
        <xdr:cNvSpPr/>
      </xdr:nvSpPr>
      <xdr:spPr>
        <a:xfrm>
          <a:off x="1371600" y="5238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A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A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A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A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A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A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A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A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A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A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A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A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A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A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B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B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B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B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B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B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B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B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B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B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B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B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B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B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B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B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B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B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B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B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B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B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B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B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B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B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B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B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B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C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C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C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C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C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C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C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C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C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C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C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C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C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C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C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C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C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C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C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C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C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C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C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C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C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C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C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C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C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C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C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D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D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D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D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D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D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D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D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D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D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D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D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D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D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D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D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D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D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D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D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D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D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D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D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D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D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D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D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D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D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SpPr/>
      </xdr:nvSpPr>
      <xdr:spPr>
        <a:xfrm>
          <a:off x="3048000" y="34290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Times New Roman" panose="02020603050405020304" pitchFamily="18" charset="0"/>
              <a:cs typeface="Times New Roman" panose="02020603050405020304" pitchFamily="18" charset="0"/>
            </a:rPr>
            <a:t>Send</a:t>
          </a:r>
          <a:endParaRPr kumimoji="1" lang="ja-JP" altLang="en-US" sz="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ExportAll" textlink="">
      <xdr:nvSpPr>
        <xdr:cNvPr id="2" name="正方形/長方形 1"/>
        <xdr:cNvSpPr/>
      </xdr:nvSpPr>
      <xdr:spPr>
        <a:xfrm>
          <a:off x="609600" y="165100"/>
          <a:ext cx="1219200" cy="330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Export Modules</a:t>
          </a: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6"/>
  <dimension ref="A1:AB57"/>
  <sheetViews>
    <sheetView tabSelected="1" workbookViewId="0">
      <selection activeCell="H3" sqref="H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63</v>
      </c>
      <c r="K3" s="61" t="s">
        <v>59</v>
      </c>
      <c r="L3" s="61" t="s">
        <v>65</v>
      </c>
      <c r="M3" s="61" t="s">
        <v>57</v>
      </c>
      <c r="N3" s="61" t="s">
        <v>67</v>
      </c>
      <c r="O3" s="61" t="s">
        <v>68</v>
      </c>
      <c r="P3" s="61" t="s">
        <v>54</v>
      </c>
      <c r="Q3" s="61" t="s">
        <v>53</v>
      </c>
      <c r="R3" s="61" t="s">
        <v>52</v>
      </c>
      <c r="S3" s="61" t="s">
        <v>72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/>
      <c r="B9" s="39"/>
      <c r="C9" s="36"/>
      <c r="D9" s="10"/>
      <c r="E9" s="37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</row>
    <row r="10" spans="1:28">
      <c r="A10" s="34"/>
      <c r="B10" s="35"/>
      <c r="C10" s="36"/>
      <c r="D10" s="10"/>
      <c r="E10" s="37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</row>
    <row r="11" spans="1:28">
      <c r="A11" s="34"/>
      <c r="B11" s="35"/>
      <c r="C11" s="36"/>
      <c r="D11" s="10"/>
      <c r="E11" s="37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</row>
    <row r="12" spans="1:28">
      <c r="A12" s="40"/>
      <c r="B12" s="41"/>
      <c r="C12" s="42"/>
      <c r="D12" s="11"/>
      <c r="E12" s="43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</row>
    <row r="13" spans="1:28">
      <c r="A13" s="40"/>
      <c r="B13" s="45"/>
      <c r="C13" s="42"/>
      <c r="D13" s="11"/>
      <c r="E13" s="43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</row>
    <row r="14" spans="1:28">
      <c r="A14" s="40"/>
      <c r="B14" s="46"/>
      <c r="C14" s="42"/>
      <c r="D14" s="11"/>
      <c r="E14" s="43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</row>
    <row r="15" spans="1:28">
      <c r="A15" s="40"/>
      <c r="B15" s="45"/>
      <c r="C15" s="42"/>
      <c r="D15" s="11"/>
      <c r="E15" s="43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</row>
    <row r="16" spans="1:28">
      <c r="A16" s="47"/>
      <c r="B16" s="48"/>
      <c r="C16" s="49"/>
      <c r="D16" s="12"/>
      <c r="E16" s="50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  <c r="R16" s="51"/>
      <c r="S16" s="51"/>
      <c r="T16" s="51"/>
      <c r="U16" s="51"/>
      <c r="V16" s="51"/>
      <c r="W16" s="51"/>
      <c r="X16" s="51"/>
      <c r="Y16" s="51"/>
      <c r="Z16" s="51"/>
      <c r="AA16" s="51"/>
      <c r="AB16" s="51"/>
    </row>
    <row r="17" spans="1:28">
      <c r="A17" s="34"/>
      <c r="B17" s="39"/>
      <c r="C17" s="36"/>
      <c r="D17" s="10"/>
      <c r="E17" s="37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</row>
    <row r="18" spans="1:28">
      <c r="A18" s="34"/>
      <c r="B18" s="35"/>
      <c r="C18" s="36"/>
      <c r="D18" s="10"/>
      <c r="E18" s="37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</row>
    <row r="19" spans="1:28">
      <c r="A19" s="34"/>
      <c r="B19" s="35"/>
      <c r="C19" s="36"/>
      <c r="D19" s="10"/>
      <c r="E19" s="37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</row>
    <row r="20" spans="1:28">
      <c r="A20" s="34"/>
      <c r="B20" s="35"/>
      <c r="C20" s="36"/>
      <c r="D20" s="10"/>
      <c r="E20" s="37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</row>
    <row r="21" spans="1:28">
      <c r="A21" s="40"/>
      <c r="B21" s="45"/>
      <c r="C21" s="42"/>
      <c r="D21" s="11"/>
      <c r="E21" s="43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</row>
    <row r="22" spans="1:28">
      <c r="A22" s="40"/>
      <c r="B22" s="45"/>
      <c r="C22" s="42"/>
      <c r="D22" s="11"/>
      <c r="E22" s="43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</row>
    <row r="23" spans="1:28">
      <c r="A23" s="40"/>
      <c r="B23" s="45"/>
      <c r="C23" s="42"/>
      <c r="D23" s="11"/>
      <c r="E23" s="43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</row>
    <row r="24" spans="1:28">
      <c r="A24" s="40"/>
      <c r="B24" s="45"/>
      <c r="C24" s="42"/>
      <c r="D24" s="11"/>
      <c r="E24" s="43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</row>
    <row r="25" spans="1:28">
      <c r="A25" s="52"/>
      <c r="B25" s="53"/>
      <c r="C25" s="54"/>
      <c r="D25" s="55"/>
      <c r="E25" s="56"/>
      <c r="F25" s="57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</row>
    <row r="26" spans="1:28">
      <c r="A26" s="52"/>
      <c r="B26" s="53"/>
      <c r="C26" s="54"/>
      <c r="D26" s="55"/>
      <c r="E26" s="56"/>
      <c r="F26" s="57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</row>
    <row r="27" spans="1:28">
      <c r="A27" s="52"/>
      <c r="B27" s="53"/>
      <c r="C27" s="54"/>
      <c r="D27" s="55"/>
      <c r="E27" s="56"/>
      <c r="F27" s="57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</row>
    <row r="28" spans="1:28">
      <c r="A28" s="52"/>
      <c r="B28" s="53"/>
      <c r="C28" s="54"/>
      <c r="D28" s="55"/>
      <c r="E28" s="56"/>
      <c r="F28" s="57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</row>
    <row r="29" spans="1:28">
      <c r="A29" s="52"/>
      <c r="B29" s="53"/>
      <c r="C29" s="54"/>
      <c r="D29" s="55"/>
      <c r="E29" s="56"/>
      <c r="F29" s="57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</row>
    <row r="30" spans="1:28">
      <c r="A30" s="52"/>
      <c r="B30" s="53"/>
      <c r="C30" s="54"/>
      <c r="D30" s="55"/>
      <c r="E30" s="56"/>
      <c r="F30" s="57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/>
      <c r="B35" s="13"/>
      <c r="C35" s="13"/>
      <c r="E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8">
      <c r="A36" s="13"/>
      <c r="B36" s="13"/>
      <c r="C36" s="13"/>
      <c r="E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8">
      <c r="A37" s="13"/>
      <c r="B37" s="13"/>
      <c r="C37" s="13"/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>
      <c r="A38" s="13"/>
      <c r="B38" s="13"/>
      <c r="C38" s="13"/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>
      <c r="A39" s="13"/>
      <c r="B39" s="13"/>
      <c r="C39" s="13"/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>
      <c r="A40" s="13"/>
      <c r="B40" s="13"/>
      <c r="C40" s="13"/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>
      <c r="A41" s="13"/>
      <c r="B41" s="13"/>
      <c r="C41" s="13"/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>
      <c r="A42" s="13"/>
      <c r="B42" s="13"/>
      <c r="C42" s="13"/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>
      <c r="A43" s="13"/>
      <c r="B43" s="13"/>
      <c r="C43" s="13"/>
    </row>
    <row r="44" spans="1:28">
      <c r="A44" s="13"/>
      <c r="B44" s="13"/>
      <c r="C44" s="13"/>
    </row>
    <row r="45" spans="1:28">
      <c r="A45" s="13"/>
      <c r="B45" s="13"/>
      <c r="C45" s="13"/>
    </row>
    <row r="46" spans="1:28">
      <c r="A46" s="13"/>
      <c r="B46" s="13"/>
      <c r="C46" s="13"/>
    </row>
    <row r="47" spans="1:28">
      <c r="A47" s="13"/>
      <c r="B47" s="13"/>
      <c r="C47" s="13"/>
    </row>
    <row r="48" spans="1:28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  <row r="52" spans="1:3">
      <c r="A52" s="13"/>
      <c r="B52" s="13"/>
      <c r="C52" s="13"/>
    </row>
    <row r="53" spans="1:3">
      <c r="A53" s="13"/>
      <c r="B53" s="13"/>
      <c r="C53" s="13"/>
    </row>
    <row r="54" spans="1:3">
      <c r="A54" s="13"/>
      <c r="B54" s="13"/>
      <c r="C54" s="13"/>
    </row>
    <row r="55" spans="1:3">
      <c r="A55" s="13"/>
      <c r="B55" s="13"/>
      <c r="C55" s="13"/>
    </row>
    <row r="56" spans="1:3">
      <c r="A56" s="13"/>
      <c r="B56" s="13"/>
      <c r="C56" s="13"/>
    </row>
    <row r="57" spans="1:3">
      <c r="A57" s="13"/>
      <c r="B57" s="13"/>
      <c r="C57" s="13"/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0"/>
  <dimension ref="A1:AB57"/>
  <sheetViews>
    <sheetView topLeftCell="B1" workbookViewId="0">
      <selection activeCell="D30" sqref="D30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30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30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9"/>
  <dimension ref="A1:AB57"/>
  <sheetViews>
    <sheetView topLeftCell="G1" workbookViewId="0">
      <selection activeCell="F3" sqref="F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80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80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  <c r="J44" s="68">
        <f>J20</f>
        <v>-180</v>
      </c>
      <c r="K44" s="68">
        <f t="shared" ref="K44:AB44" si="14">K20</f>
        <v>-180</v>
      </c>
      <c r="L44" s="68">
        <f t="shared" si="14"/>
        <v>-150</v>
      </c>
      <c r="M44" s="68">
        <f t="shared" si="14"/>
        <v>-90</v>
      </c>
      <c r="N44" s="68">
        <f t="shared" si="14"/>
        <v>-120</v>
      </c>
      <c r="O44" s="68">
        <f t="shared" si="14"/>
        <v>-120</v>
      </c>
      <c r="P44" s="68">
        <f t="shared" si="14"/>
        <v>-120</v>
      </c>
      <c r="Q44" s="68">
        <f t="shared" si="14"/>
        <v>-90</v>
      </c>
      <c r="R44" s="68">
        <f t="shared" si="14"/>
        <v>-80</v>
      </c>
      <c r="S44" s="68">
        <f t="shared" si="14"/>
        <v>-80</v>
      </c>
      <c r="T44" s="68">
        <f t="shared" si="14"/>
        <v>-180</v>
      </c>
      <c r="U44" s="68">
        <f t="shared" si="14"/>
        <v>-180</v>
      </c>
      <c r="V44" s="68">
        <f t="shared" si="14"/>
        <v>0</v>
      </c>
      <c r="W44" s="68">
        <f t="shared" si="14"/>
        <v>0</v>
      </c>
      <c r="X44" s="68">
        <f t="shared" si="14"/>
        <v>0</v>
      </c>
      <c r="Y44" s="68">
        <f t="shared" si="14"/>
        <v>0</v>
      </c>
      <c r="Z44" s="68">
        <f t="shared" si="14"/>
        <v>0</v>
      </c>
      <c r="AA44" s="68">
        <f t="shared" si="14"/>
        <v>0</v>
      </c>
      <c r="AB44" s="68">
        <f t="shared" si="14"/>
        <v>0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  <c r="J45" s="68">
        <f>J19</f>
        <v>0</v>
      </c>
      <c r="K45" s="68">
        <f t="shared" ref="K45:AB45" si="15">K19</f>
        <v>0</v>
      </c>
      <c r="L45" s="68">
        <f t="shared" si="15"/>
        <v>0</v>
      </c>
      <c r="M45" s="68">
        <f t="shared" si="15"/>
        <v>-90</v>
      </c>
      <c r="N45" s="68">
        <f t="shared" si="15"/>
        <v>-120</v>
      </c>
      <c r="O45" s="68">
        <f t="shared" si="15"/>
        <v>-120</v>
      </c>
      <c r="P45" s="68">
        <f t="shared" si="15"/>
        <v>-120</v>
      </c>
      <c r="Q45" s="68">
        <f t="shared" si="15"/>
        <v>-90</v>
      </c>
      <c r="R45" s="68">
        <f t="shared" si="15"/>
        <v>-80</v>
      </c>
      <c r="S45" s="68">
        <f t="shared" si="15"/>
        <v>-80</v>
      </c>
      <c r="T45" s="68">
        <f t="shared" si="15"/>
        <v>0</v>
      </c>
      <c r="U45" s="68">
        <f t="shared" si="15"/>
        <v>0</v>
      </c>
      <c r="V45" s="68">
        <f t="shared" si="15"/>
        <v>0</v>
      </c>
      <c r="W45" s="68">
        <f t="shared" si="15"/>
        <v>0</v>
      </c>
      <c r="X45" s="68">
        <f t="shared" si="15"/>
        <v>0</v>
      </c>
      <c r="Y45" s="68">
        <f t="shared" si="15"/>
        <v>0</v>
      </c>
      <c r="Z45" s="68">
        <f t="shared" si="15"/>
        <v>0</v>
      </c>
      <c r="AA45" s="68">
        <f t="shared" si="15"/>
        <v>0</v>
      </c>
      <c r="AB45" s="68">
        <f t="shared" si="15"/>
        <v>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4"/>
  <dimension ref="A1:AB57"/>
  <sheetViews>
    <sheetView topLeftCell="G1" workbookViewId="0">
      <selection activeCell="R6" sqref="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-150</v>
      </c>
      <c r="L17" s="38">
        <v>-150</v>
      </c>
      <c r="M17" s="38">
        <v>-60</v>
      </c>
      <c r="N17" s="38">
        <v>0</v>
      </c>
      <c r="O17" s="38">
        <v>0</v>
      </c>
      <c r="P17" s="38">
        <v>30</v>
      </c>
      <c r="Q17" s="38">
        <v>-40</v>
      </c>
      <c r="R17" s="38">
        <v>-80</v>
      </c>
      <c r="S17" s="38">
        <v>-150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-20</v>
      </c>
      <c r="M18" s="38">
        <v>90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-30</v>
      </c>
      <c r="M19" s="38">
        <v>-90</v>
      </c>
      <c r="N19" s="38">
        <v>-90</v>
      </c>
      <c r="O19" s="38">
        <v>-90</v>
      </c>
      <c r="P19" s="38">
        <v>-70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-180</v>
      </c>
      <c r="M20" s="38">
        <v>-90</v>
      </c>
      <c r="N20" s="38">
        <v>-90</v>
      </c>
      <c r="O20" s="38">
        <v>-90</v>
      </c>
      <c r="P20" s="38">
        <v>-70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-20</v>
      </c>
      <c r="M29" s="58">
        <f t="shared" si="6"/>
        <v>90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3"/>
  <dimension ref="A1:AB57"/>
  <sheetViews>
    <sheetView workbookViewId="0">
      <selection activeCell="M7" sqref="M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122</v>
      </c>
      <c r="M4" s="62">
        <f t="shared" si="0"/>
        <v>132</v>
      </c>
      <c r="N4" s="62">
        <f t="shared" si="0"/>
        <v>142</v>
      </c>
      <c r="O4" s="62">
        <f t="shared" si="0"/>
        <v>182</v>
      </c>
      <c r="P4" s="62">
        <f t="shared" si="0"/>
        <v>202</v>
      </c>
      <c r="Q4" s="62">
        <f t="shared" si="0"/>
        <v>207</v>
      </c>
      <c r="R4" s="62">
        <f t="shared" si="0"/>
        <v>227</v>
      </c>
      <c r="S4" s="62">
        <f t="shared" si="0"/>
        <v>257</v>
      </c>
      <c r="T4" s="62">
        <f t="shared" si="0"/>
        <v>262</v>
      </c>
      <c r="U4" s="62">
        <f t="shared" si="0"/>
        <v>302</v>
      </c>
      <c r="V4" s="62">
        <f t="shared" si="0"/>
        <v>332</v>
      </c>
      <c r="W4" s="62">
        <f t="shared" si="0"/>
        <v>352</v>
      </c>
      <c r="X4" s="62">
        <f t="shared" si="0"/>
        <v>452</v>
      </c>
      <c r="Y4" s="62">
        <f t="shared" si="0"/>
        <v>552</v>
      </c>
      <c r="Z4" s="62">
        <f t="shared" si="0"/>
        <v>652</v>
      </c>
      <c r="AA4" s="62">
        <f t="shared" si="0"/>
        <v>752</v>
      </c>
      <c r="AB4" s="62">
        <f t="shared" si="0"/>
        <v>852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10</v>
      </c>
      <c r="L5" s="63">
        <v>10</v>
      </c>
      <c r="M5" s="63">
        <v>10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20</v>
      </c>
      <c r="K16" s="51">
        <v>0</v>
      </c>
      <c r="L16" s="51">
        <v>-40</v>
      </c>
      <c r="M16" s="51">
        <v>-90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-70</v>
      </c>
      <c r="K17" s="38">
        <v>-70</v>
      </c>
      <c r="L17" s="38">
        <v>25</v>
      </c>
      <c r="M17" s="38">
        <v>20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-20</v>
      </c>
      <c r="K18" s="38">
        <v>-20</v>
      </c>
      <c r="L18" s="38">
        <v>-20</v>
      </c>
      <c r="M18" s="38">
        <v>70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-75</v>
      </c>
      <c r="M19" s="38">
        <v>-75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-75</v>
      </c>
      <c r="M20" s="38">
        <v>-75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-20</v>
      </c>
      <c r="K29" s="58">
        <f t="shared" si="6"/>
        <v>-20</v>
      </c>
      <c r="L29" s="58">
        <f t="shared" si="6"/>
        <v>-20</v>
      </c>
      <c r="M29" s="58">
        <f t="shared" si="6"/>
        <v>70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I35" s="68">
        <f>I20</f>
        <v>0</v>
      </c>
      <c r="J35" s="68">
        <f t="shared" ref="J35:Q35" si="8">J20</f>
        <v>0</v>
      </c>
      <c r="K35" s="68">
        <f t="shared" si="8"/>
        <v>0</v>
      </c>
      <c r="L35" s="68">
        <f t="shared" si="8"/>
        <v>-75</v>
      </c>
      <c r="M35" s="68">
        <f t="shared" si="8"/>
        <v>-75</v>
      </c>
      <c r="N35" s="68">
        <f t="shared" si="8"/>
        <v>-120</v>
      </c>
      <c r="O35" s="68">
        <f t="shared" si="8"/>
        <v>-120</v>
      </c>
      <c r="P35" s="68">
        <f t="shared" si="8"/>
        <v>-120</v>
      </c>
      <c r="Q35" s="68">
        <f t="shared" si="8"/>
        <v>-90</v>
      </c>
      <c r="R35" s="68"/>
      <c r="S35" s="68"/>
      <c r="T35" s="68"/>
      <c r="U35" s="68"/>
      <c r="V35" s="68"/>
      <c r="W35" s="68"/>
      <c r="X35" s="68"/>
      <c r="Y35" s="68"/>
      <c r="Z35" s="68"/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I36" s="68">
        <f>I19</f>
        <v>0</v>
      </c>
      <c r="J36" s="68">
        <f t="shared" ref="J36:Q36" si="9">J19</f>
        <v>0</v>
      </c>
      <c r="K36" s="68">
        <f t="shared" si="9"/>
        <v>0</v>
      </c>
      <c r="L36" s="68">
        <f t="shared" si="9"/>
        <v>-75</v>
      </c>
      <c r="M36" s="68">
        <f t="shared" si="9"/>
        <v>-75</v>
      </c>
      <c r="N36" s="68">
        <f t="shared" si="9"/>
        <v>-120</v>
      </c>
      <c r="O36" s="68">
        <f t="shared" si="9"/>
        <v>-120</v>
      </c>
      <c r="P36" s="68">
        <f t="shared" si="9"/>
        <v>-120</v>
      </c>
      <c r="Q36" s="68">
        <f t="shared" si="9"/>
        <v>-90</v>
      </c>
      <c r="R36" s="68"/>
      <c r="S36" s="68"/>
      <c r="T36" s="68"/>
      <c r="U36" s="68"/>
      <c r="V36" s="68"/>
      <c r="W36" s="68"/>
      <c r="X36" s="68"/>
      <c r="Y36" s="68"/>
      <c r="Z36" s="68"/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2"/>
  <dimension ref="A1:AB57"/>
  <sheetViews>
    <sheetView workbookViewId="0">
      <selection activeCell="K27" sqref="K2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60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60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1:AB57"/>
  <sheetViews>
    <sheetView workbookViewId="0">
      <selection activeCell="M22" sqref="M2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100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100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8"/>
  <dimension ref="A1:AB57"/>
  <sheetViews>
    <sheetView topLeftCell="B1" workbookViewId="0">
      <selection activeCell="E4" sqref="E4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202</v>
      </c>
      <c r="L4" s="62">
        <f t="shared" si="0"/>
        <v>252</v>
      </c>
      <c r="M4" s="62">
        <f t="shared" si="0"/>
        <v>302</v>
      </c>
      <c r="N4" s="62">
        <f t="shared" si="0"/>
        <v>352</v>
      </c>
      <c r="O4" s="62">
        <f t="shared" si="0"/>
        <v>442</v>
      </c>
      <c r="P4" s="62">
        <f t="shared" si="0"/>
        <v>492</v>
      </c>
      <c r="Q4" s="62">
        <f t="shared" si="0"/>
        <v>542</v>
      </c>
      <c r="R4" s="62">
        <f t="shared" si="0"/>
        <v>622</v>
      </c>
      <c r="S4" s="62">
        <f t="shared" si="0"/>
        <v>722</v>
      </c>
      <c r="T4" s="62">
        <f t="shared" si="0"/>
        <v>822</v>
      </c>
      <c r="U4" s="62">
        <f t="shared" si="0"/>
        <v>922</v>
      </c>
      <c r="V4" s="62">
        <f t="shared" si="0"/>
        <v>1022</v>
      </c>
      <c r="W4" s="62">
        <f t="shared" si="0"/>
        <v>1122</v>
      </c>
      <c r="X4" s="62">
        <f t="shared" si="0"/>
        <v>1222</v>
      </c>
      <c r="Y4" s="62">
        <f t="shared" si="0"/>
        <v>1322</v>
      </c>
      <c r="Z4" s="62">
        <f t="shared" si="0"/>
        <v>1422</v>
      </c>
      <c r="AA4" s="62">
        <f t="shared" si="0"/>
        <v>1522</v>
      </c>
      <c r="AB4" s="62">
        <f t="shared" si="0"/>
        <v>1622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100</v>
      </c>
      <c r="K5" s="63">
        <v>50</v>
      </c>
      <c r="L5" s="63">
        <v>50</v>
      </c>
      <c r="M5" s="63">
        <v>50</v>
      </c>
      <c r="N5" s="63">
        <v>20</v>
      </c>
      <c r="O5" s="63">
        <v>50</v>
      </c>
      <c r="P5" s="63">
        <v>50</v>
      </c>
      <c r="Q5" s="63">
        <v>80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70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2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10</v>
      </c>
      <c r="L8" s="38">
        <v>-10</v>
      </c>
      <c r="M8" s="38">
        <v>-30</v>
      </c>
      <c r="N8" s="38">
        <v>-30</v>
      </c>
      <c r="O8" s="38">
        <v>10</v>
      </c>
      <c r="P8" s="38">
        <v>5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-45</v>
      </c>
      <c r="O9" s="38">
        <v>-45</v>
      </c>
      <c r="P9" s="38">
        <v>-25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-40</v>
      </c>
      <c r="O10" s="38">
        <v>-40</v>
      </c>
      <c r="P10" s="38">
        <v>-25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-10</v>
      </c>
      <c r="L11" s="38">
        <v>10</v>
      </c>
      <c r="M11" s="38">
        <v>30</v>
      </c>
      <c r="N11" s="38">
        <v>30</v>
      </c>
      <c r="O11" s="38">
        <v>-10</v>
      </c>
      <c r="P11" s="38">
        <v>-5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10</v>
      </c>
      <c r="L12" s="44">
        <v>-10</v>
      </c>
      <c r="M12" s="44">
        <v>-30</v>
      </c>
      <c r="N12" s="44">
        <v>-30</v>
      </c>
      <c r="O12" s="44">
        <v>10</v>
      </c>
      <c r="P12" s="44">
        <v>5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-45</v>
      </c>
      <c r="O13" s="44">
        <v>-45</v>
      </c>
      <c r="P13" s="44">
        <v>-25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-40</v>
      </c>
      <c r="O14" s="44">
        <v>-40</v>
      </c>
      <c r="P14" s="44">
        <v>-25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-10</v>
      </c>
      <c r="L15" s="44">
        <v>10</v>
      </c>
      <c r="M15" s="44">
        <v>30</v>
      </c>
      <c r="N15" s="44">
        <v>30</v>
      </c>
      <c r="O15" s="44">
        <v>-10</v>
      </c>
      <c r="P15" s="44">
        <v>-5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30</v>
      </c>
      <c r="K17" s="38">
        <v>-120</v>
      </c>
      <c r="L17" s="38">
        <v>-130</v>
      </c>
      <c r="M17" s="38">
        <v>-100</v>
      </c>
      <c r="N17" s="38">
        <v>-60</v>
      </c>
      <c r="O17" s="38">
        <v>-70</v>
      </c>
      <c r="P17" s="38">
        <v>-50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90</v>
      </c>
      <c r="K18" s="38">
        <v>100</v>
      </c>
      <c r="L18" s="38">
        <v>80</v>
      </c>
      <c r="M18" s="38">
        <v>-10</v>
      </c>
      <c r="N18" s="38">
        <v>-10</v>
      </c>
      <c r="O18" s="38">
        <v>30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-150</v>
      </c>
      <c r="L19" s="38">
        <v>-270</v>
      </c>
      <c r="M19" s="38">
        <v>-250</v>
      </c>
      <c r="N19" s="38">
        <v>-150</v>
      </c>
      <c r="O19" s="38">
        <v>-150</v>
      </c>
      <c r="P19" s="38">
        <v>-45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-150</v>
      </c>
      <c r="L20" s="38">
        <v>-270</v>
      </c>
      <c r="M20" s="38">
        <v>-250</v>
      </c>
      <c r="N20" s="38">
        <v>-150</v>
      </c>
      <c r="O20" s="38">
        <v>-150</v>
      </c>
      <c r="P20" s="38">
        <v>-45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30</v>
      </c>
      <c r="K21" s="44">
        <v>-120</v>
      </c>
      <c r="L21" s="44">
        <v>-130</v>
      </c>
      <c r="M21" s="44">
        <v>-100</v>
      </c>
      <c r="N21" s="44">
        <v>-60</v>
      </c>
      <c r="O21" s="44">
        <v>-70</v>
      </c>
      <c r="P21" s="44">
        <v>-50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90</v>
      </c>
      <c r="K22" s="44">
        <v>100</v>
      </c>
      <c r="L22" s="44">
        <v>80</v>
      </c>
      <c r="M22" s="44">
        <v>-10</v>
      </c>
      <c r="N22" s="44">
        <v>-10</v>
      </c>
      <c r="O22" s="44">
        <v>30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-150</v>
      </c>
      <c r="L23" s="44">
        <v>-270</v>
      </c>
      <c r="M23" s="44">
        <v>-250</v>
      </c>
      <c r="N23" s="44">
        <v>-150</v>
      </c>
      <c r="O23" s="44">
        <v>-150</v>
      </c>
      <c r="P23" s="44">
        <v>-45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-150</v>
      </c>
      <c r="L24" s="44">
        <v>-270</v>
      </c>
      <c r="M24" s="44">
        <v>-250</v>
      </c>
      <c r="N24" s="44">
        <v>-150</v>
      </c>
      <c r="O24" s="44">
        <v>-150</v>
      </c>
      <c r="P24" s="44">
        <v>-45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-45</v>
      </c>
      <c r="O25" s="58">
        <f t="shared" si="3"/>
        <v>-45</v>
      </c>
      <c r="P25" s="58">
        <f t="shared" si="3"/>
        <v>-25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-40</v>
      </c>
      <c r="O26" s="58">
        <f t="shared" si="3"/>
        <v>-40</v>
      </c>
      <c r="P26" s="58">
        <f t="shared" si="3"/>
        <v>-25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-45</v>
      </c>
      <c r="O27" s="58">
        <f t="shared" si="5"/>
        <v>-45</v>
      </c>
      <c r="P27" s="58">
        <f t="shared" si="5"/>
        <v>-25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-40</v>
      </c>
      <c r="O28" s="58">
        <f t="shared" si="5"/>
        <v>-40</v>
      </c>
      <c r="P28" s="58">
        <f t="shared" si="5"/>
        <v>-25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90</v>
      </c>
      <c r="K29" s="58">
        <f t="shared" si="6"/>
        <v>100</v>
      </c>
      <c r="L29" s="58">
        <f t="shared" si="6"/>
        <v>80</v>
      </c>
      <c r="M29" s="58">
        <f t="shared" si="6"/>
        <v>-10</v>
      </c>
      <c r="N29" s="58">
        <f t="shared" si="6"/>
        <v>-10</v>
      </c>
      <c r="O29" s="58">
        <f t="shared" si="6"/>
        <v>30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90</v>
      </c>
      <c r="K30" s="58">
        <f t="shared" si="7"/>
        <v>100</v>
      </c>
      <c r="L30" s="58">
        <f t="shared" si="7"/>
        <v>80</v>
      </c>
      <c r="M30" s="58">
        <f t="shared" si="7"/>
        <v>-10</v>
      </c>
      <c r="N30" s="58">
        <f t="shared" si="7"/>
        <v>-10</v>
      </c>
      <c r="O30" s="58">
        <f t="shared" si="7"/>
        <v>30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10</v>
      </c>
      <c r="L35" s="68">
        <f t="shared" si="8"/>
        <v>-10</v>
      </c>
      <c r="M35" s="68">
        <f t="shared" si="8"/>
        <v>-30</v>
      </c>
      <c r="N35" s="68">
        <f t="shared" si="8"/>
        <v>-30</v>
      </c>
      <c r="O35" s="68">
        <f t="shared" si="8"/>
        <v>10</v>
      </c>
      <c r="P35" s="68">
        <f t="shared" si="8"/>
        <v>5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-50</v>
      </c>
      <c r="O36" s="68">
        <f t="shared" si="9"/>
        <v>-50</v>
      </c>
      <c r="P36" s="68">
        <f t="shared" si="9"/>
        <v>-30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-35</v>
      </c>
      <c r="O37" s="68">
        <f t="shared" si="10"/>
        <v>-35</v>
      </c>
      <c r="P37" s="68">
        <f t="shared" si="10"/>
        <v>-20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-10</v>
      </c>
      <c r="L38" s="68">
        <f t="shared" si="11"/>
        <v>10</v>
      </c>
      <c r="M38" s="68">
        <f t="shared" si="11"/>
        <v>30</v>
      </c>
      <c r="N38" s="68">
        <f t="shared" si="11"/>
        <v>30</v>
      </c>
      <c r="O38" s="68">
        <f t="shared" si="11"/>
        <v>-10</v>
      </c>
      <c r="P38" s="68">
        <f t="shared" si="11"/>
        <v>-5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10</v>
      </c>
      <c r="L39" s="68">
        <f t="shared" si="11"/>
        <v>-10</v>
      </c>
      <c r="M39" s="68">
        <f t="shared" si="11"/>
        <v>-30</v>
      </c>
      <c r="N39" s="68">
        <f t="shared" si="11"/>
        <v>-30</v>
      </c>
      <c r="O39" s="68">
        <f t="shared" si="11"/>
        <v>10</v>
      </c>
      <c r="P39" s="68">
        <f t="shared" si="11"/>
        <v>5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-50</v>
      </c>
      <c r="O40" s="68">
        <f t="shared" si="12"/>
        <v>-50</v>
      </c>
      <c r="P40" s="68">
        <f t="shared" si="12"/>
        <v>-30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-35</v>
      </c>
      <c r="O41" s="68">
        <f t="shared" si="13"/>
        <v>-35</v>
      </c>
      <c r="P41" s="68">
        <f t="shared" si="13"/>
        <v>-20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-10</v>
      </c>
      <c r="L42" s="68">
        <f t="shared" si="11"/>
        <v>10</v>
      </c>
      <c r="M42" s="68">
        <f t="shared" si="11"/>
        <v>30</v>
      </c>
      <c r="N42" s="68">
        <f t="shared" si="11"/>
        <v>30</v>
      </c>
      <c r="O42" s="68">
        <f t="shared" si="11"/>
        <v>-10</v>
      </c>
      <c r="P42" s="68">
        <f t="shared" si="11"/>
        <v>-5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7"/>
  <dimension ref="A1:AB57"/>
  <sheetViews>
    <sheetView topLeftCell="B1" workbookViewId="0">
      <selection activeCell="N28" sqref="N28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152</v>
      </c>
      <c r="L4" s="62">
        <f t="shared" si="0"/>
        <v>202</v>
      </c>
      <c r="M4" s="62">
        <f t="shared" si="0"/>
        <v>283</v>
      </c>
      <c r="N4" s="62">
        <f t="shared" si="0"/>
        <v>333</v>
      </c>
      <c r="O4" s="62">
        <f t="shared" si="0"/>
        <v>413</v>
      </c>
      <c r="P4" s="62">
        <f t="shared" si="0"/>
        <v>513</v>
      </c>
      <c r="Q4" s="62">
        <f t="shared" si="0"/>
        <v>613</v>
      </c>
      <c r="R4" s="62">
        <f t="shared" si="0"/>
        <v>713</v>
      </c>
      <c r="S4" s="62">
        <f t="shared" si="0"/>
        <v>813</v>
      </c>
      <c r="T4" s="62">
        <f t="shared" si="0"/>
        <v>913</v>
      </c>
      <c r="U4" s="62">
        <f t="shared" si="0"/>
        <v>1013</v>
      </c>
      <c r="V4" s="62">
        <f t="shared" si="0"/>
        <v>1113</v>
      </c>
      <c r="W4" s="62">
        <f t="shared" si="0"/>
        <v>1213</v>
      </c>
      <c r="X4" s="62">
        <f t="shared" si="0"/>
        <v>1313</v>
      </c>
      <c r="Y4" s="62">
        <f t="shared" si="0"/>
        <v>1413</v>
      </c>
      <c r="Z4" s="62">
        <f t="shared" si="0"/>
        <v>1513</v>
      </c>
      <c r="AA4" s="62">
        <f t="shared" si="0"/>
        <v>1613</v>
      </c>
      <c r="AB4" s="62">
        <f t="shared" si="0"/>
        <v>1713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50</v>
      </c>
      <c r="K5" s="63">
        <v>50</v>
      </c>
      <c r="L5" s="63">
        <v>11</v>
      </c>
      <c r="M5" s="63">
        <v>50</v>
      </c>
      <c r="N5" s="63">
        <v>80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70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-25</v>
      </c>
      <c r="L8" s="38">
        <v>-30</v>
      </c>
      <c r="M8" s="38">
        <v>10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25</v>
      </c>
      <c r="L11" s="38">
        <v>30</v>
      </c>
      <c r="M11" s="38">
        <v>-10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-25</v>
      </c>
      <c r="L12" s="44">
        <v>-30</v>
      </c>
      <c r="M12" s="44">
        <v>10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25</v>
      </c>
      <c r="L15" s="44">
        <v>30</v>
      </c>
      <c r="M15" s="44">
        <v>-10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10</v>
      </c>
      <c r="K17" s="38">
        <v>0</v>
      </c>
      <c r="L17" s="38">
        <v>-45</v>
      </c>
      <c r="M17" s="38">
        <v>-25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10</v>
      </c>
      <c r="M18" s="38">
        <v>20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-120</v>
      </c>
      <c r="L19" s="38">
        <v>-110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-120</v>
      </c>
      <c r="L20" s="38">
        <v>-110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10</v>
      </c>
      <c r="K21" s="44">
        <v>0</v>
      </c>
      <c r="L21" s="44">
        <v>-45</v>
      </c>
      <c r="M21" s="44">
        <v>-25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10</v>
      </c>
      <c r="M22" s="44">
        <v>20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-120</v>
      </c>
      <c r="L23" s="44">
        <v>-110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-120</v>
      </c>
      <c r="L24" s="44">
        <v>-110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0</v>
      </c>
      <c r="O26" s="58">
        <f t="shared" si="3"/>
        <v>0</v>
      </c>
      <c r="P26" s="58">
        <f t="shared" si="3"/>
        <v>0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0</v>
      </c>
      <c r="O28" s="58">
        <f t="shared" si="5"/>
        <v>0</v>
      </c>
      <c r="P28" s="58">
        <f t="shared" si="5"/>
        <v>0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10</v>
      </c>
      <c r="M29" s="58">
        <f t="shared" si="6"/>
        <v>20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10</v>
      </c>
      <c r="M30" s="58">
        <f t="shared" si="7"/>
        <v>20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-25</v>
      </c>
      <c r="L35" s="68">
        <f t="shared" si="8"/>
        <v>-30</v>
      </c>
      <c r="M35" s="68">
        <f t="shared" si="8"/>
        <v>10</v>
      </c>
      <c r="N35" s="68">
        <f t="shared" si="8"/>
        <v>0</v>
      </c>
      <c r="O35" s="68">
        <f t="shared" si="8"/>
        <v>0</v>
      </c>
      <c r="P35" s="68">
        <f t="shared" si="8"/>
        <v>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</v>
      </c>
      <c r="O36" s="68">
        <f t="shared" si="9"/>
        <v>-5</v>
      </c>
      <c r="P36" s="68">
        <f t="shared" si="9"/>
        <v>-5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5</v>
      </c>
      <c r="O37" s="68">
        <f t="shared" si="10"/>
        <v>5</v>
      </c>
      <c r="P37" s="68">
        <f t="shared" si="10"/>
        <v>5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25</v>
      </c>
      <c r="L38" s="68">
        <f t="shared" si="11"/>
        <v>30</v>
      </c>
      <c r="M38" s="68">
        <f t="shared" si="11"/>
        <v>-10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-25</v>
      </c>
      <c r="L39" s="68">
        <f t="shared" si="11"/>
        <v>-30</v>
      </c>
      <c r="M39" s="68">
        <f t="shared" si="11"/>
        <v>10</v>
      </c>
      <c r="N39" s="68">
        <f t="shared" si="11"/>
        <v>0</v>
      </c>
      <c r="O39" s="68">
        <f t="shared" si="11"/>
        <v>0</v>
      </c>
      <c r="P39" s="68">
        <f t="shared" si="11"/>
        <v>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</v>
      </c>
      <c r="O40" s="68">
        <f t="shared" si="12"/>
        <v>-5</v>
      </c>
      <c r="P40" s="68">
        <f t="shared" si="12"/>
        <v>-5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5</v>
      </c>
      <c r="O41" s="68">
        <f t="shared" si="13"/>
        <v>5</v>
      </c>
      <c r="P41" s="68">
        <f t="shared" si="13"/>
        <v>5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25</v>
      </c>
      <c r="L42" s="68">
        <f t="shared" si="11"/>
        <v>30</v>
      </c>
      <c r="M42" s="68">
        <f t="shared" si="11"/>
        <v>-10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5"/>
  <dimension ref="A1:AB57"/>
  <sheetViews>
    <sheetView topLeftCell="C1" workbookViewId="0">
      <selection activeCell="K6" sqref="K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113</v>
      </c>
      <c r="L4" s="62">
        <f t="shared" si="0"/>
        <v>123</v>
      </c>
      <c r="M4" s="62">
        <f t="shared" si="0"/>
        <v>126</v>
      </c>
      <c r="N4" s="62">
        <f t="shared" si="0"/>
        <v>132</v>
      </c>
      <c r="O4" s="62">
        <f t="shared" si="0"/>
        <v>142</v>
      </c>
      <c r="P4" s="62">
        <f t="shared" si="0"/>
        <v>145</v>
      </c>
      <c r="Q4" s="62">
        <f t="shared" si="0"/>
        <v>151</v>
      </c>
      <c r="R4" s="62">
        <f t="shared" si="0"/>
        <v>156</v>
      </c>
      <c r="S4" s="62">
        <f t="shared" si="0"/>
        <v>161</v>
      </c>
      <c r="T4" s="62">
        <f t="shared" si="0"/>
        <v>171</v>
      </c>
      <c r="U4" s="62">
        <f t="shared" si="0"/>
        <v>183</v>
      </c>
      <c r="V4" s="62">
        <f t="shared" si="0"/>
        <v>196</v>
      </c>
      <c r="W4" s="62">
        <f t="shared" si="0"/>
        <v>210</v>
      </c>
      <c r="X4" s="62">
        <f t="shared" si="0"/>
        <v>235</v>
      </c>
      <c r="Y4" s="62">
        <f t="shared" si="0"/>
        <v>335</v>
      </c>
      <c r="Z4" s="62">
        <f t="shared" si="0"/>
        <v>435</v>
      </c>
      <c r="AA4" s="62">
        <f t="shared" si="0"/>
        <v>535</v>
      </c>
      <c r="AB4" s="62">
        <f t="shared" si="0"/>
        <v>635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</v>
      </c>
      <c r="K5" s="63">
        <v>2</v>
      </c>
      <c r="L5" s="63">
        <v>3</v>
      </c>
      <c r="M5" s="63">
        <v>6</v>
      </c>
      <c r="N5" s="63">
        <f>K5</f>
        <v>2</v>
      </c>
      <c r="O5" s="63">
        <f t="shared" ref="O5:P6" si="1">L5</f>
        <v>3</v>
      </c>
      <c r="P5" s="63">
        <f t="shared" si="1"/>
        <v>6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6</v>
      </c>
      <c r="K6" s="63">
        <v>8</v>
      </c>
      <c r="L6" s="63">
        <v>0</v>
      </c>
      <c r="M6" s="63">
        <v>0</v>
      </c>
      <c r="N6" s="63">
        <f>K6</f>
        <v>8</v>
      </c>
      <c r="O6" s="63">
        <f t="shared" si="1"/>
        <v>0</v>
      </c>
      <c r="P6" s="63">
        <f t="shared" si="1"/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</v>
      </c>
      <c r="K8" s="38">
        <v>15</v>
      </c>
      <c r="L8" s="38">
        <v>0</v>
      </c>
      <c r="M8" s="38">
        <v>5</v>
      </c>
      <c r="N8" s="38">
        <v>-10</v>
      </c>
      <c r="O8" s="38">
        <v>5</v>
      </c>
      <c r="P8" s="38">
        <v>10</v>
      </c>
      <c r="Q8" s="38">
        <v>15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15</v>
      </c>
      <c r="K9" s="38">
        <v>20</v>
      </c>
      <c r="L9" s="38">
        <v>15</v>
      </c>
      <c r="M9" s="38">
        <v>35</v>
      </c>
      <c r="N9" s="38">
        <v>-40</v>
      </c>
      <c r="O9" s="38">
        <v>-15</v>
      </c>
      <c r="P9" s="38">
        <v>10</v>
      </c>
      <c r="Q9" s="38">
        <v>20</v>
      </c>
      <c r="R9" s="38">
        <v>-10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-15</v>
      </c>
      <c r="K10" s="38">
        <v>-5</v>
      </c>
      <c r="L10" s="38">
        <v>-10</v>
      </c>
      <c r="M10" s="38">
        <v>-5</v>
      </c>
      <c r="N10" s="38">
        <v>-13</v>
      </c>
      <c r="O10" s="38">
        <v>20</v>
      </c>
      <c r="P10" s="38">
        <v>0</v>
      </c>
      <c r="Q10" s="38">
        <v>5</v>
      </c>
      <c r="R10" s="38">
        <v>15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-3</v>
      </c>
      <c r="M11" s="38">
        <v>-3</v>
      </c>
      <c r="N11" s="38">
        <v>5</v>
      </c>
      <c r="O11" s="38">
        <v>-5</v>
      </c>
      <c r="P11" s="38">
        <v>-5</v>
      </c>
      <c r="Q11" s="38">
        <v>-5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-5</v>
      </c>
      <c r="K12" s="44">
        <v>-10</v>
      </c>
      <c r="L12" s="44">
        <v>5</v>
      </c>
      <c r="M12" s="44">
        <v>10</v>
      </c>
      <c r="N12" s="44">
        <v>15</v>
      </c>
      <c r="O12" s="44">
        <v>5</v>
      </c>
      <c r="P12" s="44">
        <v>5</v>
      </c>
      <c r="Q12" s="44">
        <v>-10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2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25</v>
      </c>
      <c r="K13" s="44">
        <v>-40</v>
      </c>
      <c r="L13" s="44">
        <v>-15</v>
      </c>
      <c r="M13" s="44">
        <v>10</v>
      </c>
      <c r="N13" s="44">
        <v>20</v>
      </c>
      <c r="O13" s="44">
        <v>15</v>
      </c>
      <c r="P13" s="44">
        <v>35</v>
      </c>
      <c r="Q13" s="44">
        <v>-40</v>
      </c>
      <c r="R13" s="44">
        <v>-10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2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-5</v>
      </c>
      <c r="K14" s="44">
        <v>-13</v>
      </c>
      <c r="L14" s="44">
        <v>20</v>
      </c>
      <c r="M14" s="44">
        <v>0</v>
      </c>
      <c r="N14" s="44">
        <v>-5</v>
      </c>
      <c r="O14" s="44">
        <v>-10</v>
      </c>
      <c r="P14" s="44">
        <v>-5</v>
      </c>
      <c r="Q14" s="44">
        <v>-13</v>
      </c>
      <c r="R14" s="44">
        <v>15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2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5</v>
      </c>
      <c r="K15" s="44">
        <v>5</v>
      </c>
      <c r="L15" s="44">
        <v>-5</v>
      </c>
      <c r="M15" s="44">
        <v>-5</v>
      </c>
      <c r="N15" s="44">
        <v>-5</v>
      </c>
      <c r="O15" s="44">
        <v>-3</v>
      </c>
      <c r="P15" s="44">
        <v>-3</v>
      </c>
      <c r="Q15" s="44">
        <v>5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-10</v>
      </c>
      <c r="K16" s="51">
        <v>-5</v>
      </c>
      <c r="L16" s="51">
        <v>5</v>
      </c>
      <c r="M16" s="51">
        <v>10</v>
      </c>
      <c r="N16" s="51">
        <v>5</v>
      </c>
      <c r="O16" s="51">
        <v>-5</v>
      </c>
      <c r="P16" s="51">
        <v>-10</v>
      </c>
      <c r="Q16" s="51">
        <v>-5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3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3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3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4">H9</f>
        <v>0</v>
      </c>
      <c r="I25" s="58">
        <f t="shared" si="4"/>
        <v>0</v>
      </c>
      <c r="J25" s="58">
        <f t="shared" si="4"/>
        <v>15</v>
      </c>
      <c r="K25" s="58">
        <f t="shared" si="4"/>
        <v>20</v>
      </c>
      <c r="L25" s="58">
        <f t="shared" si="4"/>
        <v>15</v>
      </c>
      <c r="M25" s="58">
        <f t="shared" si="4"/>
        <v>35</v>
      </c>
      <c r="N25" s="58">
        <f t="shared" si="4"/>
        <v>-40</v>
      </c>
      <c r="O25" s="58">
        <f t="shared" si="4"/>
        <v>-15</v>
      </c>
      <c r="P25" s="58">
        <f t="shared" si="4"/>
        <v>10</v>
      </c>
      <c r="Q25" s="58">
        <f t="shared" si="4"/>
        <v>20</v>
      </c>
      <c r="R25" s="58">
        <f t="shared" si="4"/>
        <v>-10</v>
      </c>
      <c r="S25" s="58">
        <f t="shared" si="4"/>
        <v>0</v>
      </c>
      <c r="T25" s="58">
        <f t="shared" si="4"/>
        <v>0</v>
      </c>
      <c r="U25" s="58">
        <f t="shared" si="4"/>
        <v>0</v>
      </c>
      <c r="V25" s="58">
        <f t="shared" si="4"/>
        <v>0</v>
      </c>
      <c r="W25" s="58">
        <f t="shared" si="4"/>
        <v>0</v>
      </c>
      <c r="X25" s="58">
        <f t="shared" si="4"/>
        <v>0</v>
      </c>
      <c r="Y25" s="58">
        <f t="shared" si="4"/>
        <v>0</v>
      </c>
      <c r="Z25" s="58">
        <f t="shared" si="4"/>
        <v>0</v>
      </c>
      <c r="AA25" s="58">
        <f t="shared" si="4"/>
        <v>0</v>
      </c>
      <c r="AB25" s="58">
        <f t="shared" si="4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5">G10</f>
        <v>0</v>
      </c>
      <c r="H26" s="58">
        <f t="shared" si="4"/>
        <v>0</v>
      </c>
      <c r="I26" s="58">
        <f t="shared" si="4"/>
        <v>0</v>
      </c>
      <c r="J26" s="58">
        <f t="shared" si="4"/>
        <v>-15</v>
      </c>
      <c r="K26" s="58">
        <f t="shared" si="4"/>
        <v>-5</v>
      </c>
      <c r="L26" s="58">
        <f t="shared" si="4"/>
        <v>-10</v>
      </c>
      <c r="M26" s="58">
        <f t="shared" si="4"/>
        <v>-5</v>
      </c>
      <c r="N26" s="58">
        <f t="shared" si="4"/>
        <v>-13</v>
      </c>
      <c r="O26" s="58">
        <f t="shared" si="4"/>
        <v>20</v>
      </c>
      <c r="P26" s="58">
        <f t="shared" si="4"/>
        <v>0</v>
      </c>
      <c r="Q26" s="58">
        <f t="shared" si="4"/>
        <v>5</v>
      </c>
      <c r="R26" s="58">
        <f t="shared" si="4"/>
        <v>15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AB28" si="6">G13</f>
        <v>0</v>
      </c>
      <c r="H27" s="58">
        <f t="shared" si="6"/>
        <v>0</v>
      </c>
      <c r="I27" s="58">
        <f t="shared" si="6"/>
        <v>0</v>
      </c>
      <c r="J27" s="58">
        <f t="shared" si="6"/>
        <v>25</v>
      </c>
      <c r="K27" s="58">
        <f t="shared" si="6"/>
        <v>-40</v>
      </c>
      <c r="L27" s="58">
        <f t="shared" si="6"/>
        <v>-15</v>
      </c>
      <c r="M27" s="58">
        <f t="shared" si="6"/>
        <v>10</v>
      </c>
      <c r="N27" s="58">
        <f t="shared" si="6"/>
        <v>20</v>
      </c>
      <c r="O27" s="58">
        <f t="shared" si="6"/>
        <v>15</v>
      </c>
      <c r="P27" s="58">
        <f t="shared" si="6"/>
        <v>35</v>
      </c>
      <c r="Q27" s="58">
        <f t="shared" si="6"/>
        <v>-40</v>
      </c>
      <c r="R27" s="58">
        <f t="shared" si="6"/>
        <v>-10</v>
      </c>
      <c r="S27" s="58">
        <f t="shared" si="6"/>
        <v>0</v>
      </c>
      <c r="T27" s="58">
        <f t="shared" si="6"/>
        <v>0</v>
      </c>
      <c r="U27" s="58">
        <f t="shared" si="6"/>
        <v>0</v>
      </c>
      <c r="V27" s="58">
        <f t="shared" si="6"/>
        <v>0</v>
      </c>
      <c r="W27" s="58">
        <f t="shared" si="6"/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si="6"/>
        <v>0</v>
      </c>
      <c r="I28" s="58">
        <f t="shared" si="6"/>
        <v>0</v>
      </c>
      <c r="J28" s="58">
        <f t="shared" si="6"/>
        <v>-5</v>
      </c>
      <c r="K28" s="58">
        <f t="shared" si="6"/>
        <v>-13</v>
      </c>
      <c r="L28" s="58">
        <f t="shared" si="6"/>
        <v>20</v>
      </c>
      <c r="M28" s="58">
        <f t="shared" si="6"/>
        <v>0</v>
      </c>
      <c r="N28" s="58">
        <f t="shared" si="6"/>
        <v>-5</v>
      </c>
      <c r="O28" s="58">
        <f t="shared" si="6"/>
        <v>-10</v>
      </c>
      <c r="P28" s="58">
        <f t="shared" si="6"/>
        <v>-5</v>
      </c>
      <c r="Q28" s="58">
        <f t="shared" si="6"/>
        <v>-13</v>
      </c>
      <c r="R28" s="58">
        <f t="shared" si="6"/>
        <v>15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39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6"/>
  <dimension ref="A1:AB57"/>
  <sheetViews>
    <sheetView workbookViewId="0">
      <selection activeCell="Q24" sqref="Q24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63</v>
      </c>
      <c r="K3" s="61" t="s">
        <v>64</v>
      </c>
      <c r="L3" s="61" t="s">
        <v>65</v>
      </c>
      <c r="M3" s="61" t="s">
        <v>66</v>
      </c>
      <c r="N3" s="61" t="s">
        <v>67</v>
      </c>
      <c r="O3" s="61" t="s">
        <v>68</v>
      </c>
      <c r="P3" s="61" t="s">
        <v>69</v>
      </c>
      <c r="Q3" s="61" t="s">
        <v>70</v>
      </c>
      <c r="R3" s="61" t="s">
        <v>71</v>
      </c>
      <c r="S3" s="61" t="s">
        <v>72</v>
      </c>
      <c r="T3" s="61" t="s">
        <v>73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-20</v>
      </c>
      <c r="K9" s="38">
        <v>-12</v>
      </c>
      <c r="L9" s="38">
        <v>-12</v>
      </c>
      <c r="M9" s="38">
        <v>-15</v>
      </c>
      <c r="N9" s="38">
        <v>-20</v>
      </c>
      <c r="O9" s="38">
        <v>10</v>
      </c>
      <c r="P9" s="38">
        <v>-5</v>
      </c>
      <c r="Q9" s="38">
        <v>-5</v>
      </c>
      <c r="R9" s="38">
        <v>40</v>
      </c>
      <c r="S9" s="38">
        <v>-15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30</v>
      </c>
      <c r="K10" s="38">
        <v>25</v>
      </c>
      <c r="L10" s="38">
        <v>25</v>
      </c>
      <c r="M10" s="38">
        <v>40</v>
      </c>
      <c r="N10" s="38">
        <v>-20</v>
      </c>
      <c r="O10" s="38">
        <v>-5</v>
      </c>
      <c r="P10" s="38">
        <v>0</v>
      </c>
      <c r="Q10" s="38">
        <v>15</v>
      </c>
      <c r="R10" s="38">
        <v>-15</v>
      </c>
      <c r="S10" s="38">
        <v>-5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-20</v>
      </c>
      <c r="K11" s="38">
        <v>-7</v>
      </c>
      <c r="L11" s="38">
        <v>-7</v>
      </c>
      <c r="M11" s="38">
        <v>-12</v>
      </c>
      <c r="N11" s="38">
        <v>5</v>
      </c>
      <c r="O11" s="38">
        <v>3</v>
      </c>
      <c r="P11" s="38">
        <v>0</v>
      </c>
      <c r="Q11" s="38">
        <v>-7</v>
      </c>
      <c r="R11" s="38">
        <v>-7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-15</v>
      </c>
      <c r="K12" s="44">
        <v>-3</v>
      </c>
      <c r="L12" s="44">
        <v>2</v>
      </c>
      <c r="M12" s="44">
        <v>2</v>
      </c>
      <c r="N12" s="44">
        <v>10</v>
      </c>
      <c r="O12" s="44">
        <v>7</v>
      </c>
      <c r="P12" s="44">
        <v>-3</v>
      </c>
      <c r="Q12" s="44">
        <v>-3</v>
      </c>
      <c r="R12" s="44">
        <v>2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-20</v>
      </c>
      <c r="L13" s="44">
        <v>10</v>
      </c>
      <c r="M13" s="44">
        <v>-5</v>
      </c>
      <c r="N13" s="44">
        <v>-5</v>
      </c>
      <c r="O13" s="44">
        <v>-12</v>
      </c>
      <c r="P13" s="44">
        <v>-15</v>
      </c>
      <c r="Q13" s="44">
        <v>-20</v>
      </c>
      <c r="R13" s="44">
        <v>40</v>
      </c>
      <c r="S13" s="44">
        <v>-15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50</v>
      </c>
      <c r="K14" s="44">
        <v>-20</v>
      </c>
      <c r="L14" s="44">
        <v>-5</v>
      </c>
      <c r="M14" s="44">
        <v>0</v>
      </c>
      <c r="N14" s="44">
        <v>15</v>
      </c>
      <c r="O14" s="44">
        <v>25</v>
      </c>
      <c r="P14" s="44">
        <v>40</v>
      </c>
      <c r="Q14" s="44">
        <v>-20</v>
      </c>
      <c r="R14" s="44">
        <v>-5</v>
      </c>
      <c r="S14" s="44">
        <v>-5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7</v>
      </c>
      <c r="K15" s="44">
        <v>5</v>
      </c>
      <c r="L15" s="44">
        <v>3</v>
      </c>
      <c r="M15" s="44">
        <v>0</v>
      </c>
      <c r="N15" s="44">
        <v>-7</v>
      </c>
      <c r="O15" s="44">
        <v>-7</v>
      </c>
      <c r="P15" s="44">
        <v>-12</v>
      </c>
      <c r="Q15" s="44">
        <v>5</v>
      </c>
      <c r="R15" s="44">
        <v>3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-20</v>
      </c>
      <c r="K16" s="51">
        <v>-30</v>
      </c>
      <c r="L16" s="51">
        <v>-5</v>
      </c>
      <c r="M16" s="51">
        <v>-10</v>
      </c>
      <c r="N16" s="51">
        <v>-8</v>
      </c>
      <c r="O16" s="51">
        <v>5</v>
      </c>
      <c r="P16" s="51">
        <v>10</v>
      </c>
      <c r="Q16" s="51">
        <v>8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-20</v>
      </c>
      <c r="K25" s="58">
        <f t="shared" si="3"/>
        <v>-12</v>
      </c>
      <c r="L25" s="58">
        <f t="shared" si="3"/>
        <v>-12</v>
      </c>
      <c r="M25" s="58">
        <f t="shared" si="3"/>
        <v>-15</v>
      </c>
      <c r="N25" s="58">
        <f t="shared" si="3"/>
        <v>-20</v>
      </c>
      <c r="O25" s="58">
        <f t="shared" si="3"/>
        <v>10</v>
      </c>
      <c r="P25" s="58">
        <f t="shared" si="3"/>
        <v>-5</v>
      </c>
      <c r="Q25" s="58">
        <f t="shared" si="3"/>
        <v>-5</v>
      </c>
      <c r="R25" s="58">
        <f t="shared" si="3"/>
        <v>40</v>
      </c>
      <c r="S25" s="58">
        <f t="shared" si="3"/>
        <v>-15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30</v>
      </c>
      <c r="K26" s="58">
        <f t="shared" si="3"/>
        <v>25</v>
      </c>
      <c r="L26" s="58">
        <f t="shared" si="3"/>
        <v>25</v>
      </c>
      <c r="M26" s="58">
        <f t="shared" si="3"/>
        <v>40</v>
      </c>
      <c r="N26" s="58">
        <f t="shared" si="3"/>
        <v>-20</v>
      </c>
      <c r="O26" s="58">
        <f t="shared" si="3"/>
        <v>-5</v>
      </c>
      <c r="P26" s="58">
        <f t="shared" si="3"/>
        <v>0</v>
      </c>
      <c r="Q26" s="58">
        <f t="shared" si="3"/>
        <v>15</v>
      </c>
      <c r="R26" s="58">
        <f t="shared" si="3"/>
        <v>-15</v>
      </c>
      <c r="S26" s="58">
        <f t="shared" si="3"/>
        <v>-5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-20</v>
      </c>
      <c r="L27" s="58">
        <f t="shared" si="5"/>
        <v>10</v>
      </c>
      <c r="M27" s="58">
        <f t="shared" si="5"/>
        <v>-5</v>
      </c>
      <c r="N27" s="58">
        <f t="shared" si="5"/>
        <v>-5</v>
      </c>
      <c r="O27" s="58">
        <f t="shared" si="5"/>
        <v>-12</v>
      </c>
      <c r="P27" s="58">
        <f t="shared" si="5"/>
        <v>-15</v>
      </c>
      <c r="Q27" s="58">
        <f t="shared" si="5"/>
        <v>-20</v>
      </c>
      <c r="R27" s="58">
        <f t="shared" si="5"/>
        <v>40</v>
      </c>
      <c r="S27" s="58">
        <f t="shared" si="5"/>
        <v>-15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50</v>
      </c>
      <c r="K28" s="58">
        <f t="shared" si="5"/>
        <v>-20</v>
      </c>
      <c r="L28" s="58">
        <f t="shared" si="5"/>
        <v>-5</v>
      </c>
      <c r="M28" s="58">
        <f t="shared" si="5"/>
        <v>0</v>
      </c>
      <c r="N28" s="58">
        <f t="shared" si="5"/>
        <v>15</v>
      </c>
      <c r="O28" s="58">
        <f t="shared" si="5"/>
        <v>25</v>
      </c>
      <c r="P28" s="58">
        <f t="shared" si="5"/>
        <v>40</v>
      </c>
      <c r="Q28" s="58">
        <f t="shared" si="5"/>
        <v>-20</v>
      </c>
      <c r="R28" s="58">
        <f t="shared" si="5"/>
        <v>-5</v>
      </c>
      <c r="S28" s="58">
        <f t="shared" si="5"/>
        <v>-5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25</v>
      </c>
      <c r="K35" s="68">
        <f t="shared" ref="K35:Z35" si="8">K8</f>
        <v>7</v>
      </c>
      <c r="L35" s="68">
        <f t="shared" si="8"/>
        <v>7</v>
      </c>
      <c r="M35" s="68">
        <f t="shared" si="8"/>
        <v>-3</v>
      </c>
      <c r="N35" s="68">
        <f t="shared" si="8"/>
        <v>-3</v>
      </c>
      <c r="O35" s="68">
        <f t="shared" si="8"/>
        <v>2</v>
      </c>
      <c r="P35" s="68">
        <f t="shared" si="8"/>
        <v>2</v>
      </c>
      <c r="Q35" s="68">
        <f t="shared" si="8"/>
        <v>10</v>
      </c>
      <c r="R35" s="68">
        <f t="shared" si="8"/>
        <v>7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-25</v>
      </c>
      <c r="K36" s="68">
        <f t="shared" ref="K36:Z36" si="9">K9-5</f>
        <v>-17</v>
      </c>
      <c r="L36" s="68">
        <f t="shared" si="9"/>
        <v>-17</v>
      </c>
      <c r="M36" s="68">
        <f t="shared" si="9"/>
        <v>-20</v>
      </c>
      <c r="N36" s="68">
        <f t="shared" si="9"/>
        <v>-25</v>
      </c>
      <c r="O36" s="68">
        <f t="shared" si="9"/>
        <v>5</v>
      </c>
      <c r="P36" s="68">
        <f t="shared" si="9"/>
        <v>-10</v>
      </c>
      <c r="Q36" s="68">
        <f t="shared" si="9"/>
        <v>-10</v>
      </c>
      <c r="R36" s="68">
        <f t="shared" si="9"/>
        <v>35</v>
      </c>
      <c r="S36" s="68">
        <f t="shared" si="9"/>
        <v>-20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35</v>
      </c>
      <c r="K37" s="68">
        <f t="shared" ref="K37:Z37" si="10">K10+5</f>
        <v>30</v>
      </c>
      <c r="L37" s="68">
        <f t="shared" si="10"/>
        <v>30</v>
      </c>
      <c r="M37" s="68">
        <f t="shared" si="10"/>
        <v>45</v>
      </c>
      <c r="N37" s="68">
        <f t="shared" si="10"/>
        <v>-15</v>
      </c>
      <c r="O37" s="68">
        <f t="shared" si="10"/>
        <v>0</v>
      </c>
      <c r="P37" s="68">
        <f t="shared" si="10"/>
        <v>5</v>
      </c>
      <c r="Q37" s="68">
        <f t="shared" si="10"/>
        <v>20</v>
      </c>
      <c r="R37" s="68">
        <f t="shared" si="10"/>
        <v>-10</v>
      </c>
      <c r="S37" s="68">
        <f t="shared" si="10"/>
        <v>0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Y42" si="11">J11</f>
        <v>-20</v>
      </c>
      <c r="K38" s="68">
        <f t="shared" si="11"/>
        <v>-7</v>
      </c>
      <c r="L38" s="68">
        <f t="shared" si="11"/>
        <v>-7</v>
      </c>
      <c r="M38" s="68">
        <f t="shared" si="11"/>
        <v>-12</v>
      </c>
      <c r="N38" s="68">
        <f t="shared" si="11"/>
        <v>5</v>
      </c>
      <c r="O38" s="68">
        <f t="shared" si="11"/>
        <v>3</v>
      </c>
      <c r="P38" s="68">
        <f t="shared" si="11"/>
        <v>0</v>
      </c>
      <c r="Q38" s="68">
        <f t="shared" si="11"/>
        <v>-7</v>
      </c>
      <c r="R38" s="68">
        <f t="shared" si="11"/>
        <v>-7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ref="K38:Z42" si="12">Z11</f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-15</v>
      </c>
      <c r="K39" s="68">
        <f t="shared" si="12"/>
        <v>-3</v>
      </c>
      <c r="L39" s="68">
        <f t="shared" si="12"/>
        <v>2</v>
      </c>
      <c r="M39" s="68">
        <f t="shared" si="12"/>
        <v>2</v>
      </c>
      <c r="N39" s="68">
        <f t="shared" si="12"/>
        <v>10</v>
      </c>
      <c r="O39" s="68">
        <f t="shared" si="12"/>
        <v>7</v>
      </c>
      <c r="P39" s="68">
        <f t="shared" si="12"/>
        <v>-3</v>
      </c>
      <c r="Q39" s="68">
        <f t="shared" si="12"/>
        <v>-3</v>
      </c>
      <c r="R39" s="68">
        <f t="shared" si="12"/>
        <v>2</v>
      </c>
      <c r="S39" s="68">
        <f t="shared" si="12"/>
        <v>0</v>
      </c>
      <c r="T39" s="68">
        <f t="shared" si="12"/>
        <v>0</v>
      </c>
      <c r="U39" s="68">
        <f t="shared" si="12"/>
        <v>0</v>
      </c>
      <c r="V39" s="68">
        <f t="shared" si="12"/>
        <v>0</v>
      </c>
      <c r="W39" s="68">
        <f t="shared" si="12"/>
        <v>0</v>
      </c>
      <c r="X39" s="68">
        <f t="shared" si="12"/>
        <v>0</v>
      </c>
      <c r="Y39" s="68">
        <f t="shared" si="12"/>
        <v>0</v>
      </c>
      <c r="Z39" s="68">
        <f t="shared" si="12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</v>
      </c>
      <c r="K40" s="68">
        <f t="shared" ref="K40:Z40" si="13">K13-5</f>
        <v>-25</v>
      </c>
      <c r="L40" s="68">
        <f t="shared" si="13"/>
        <v>5</v>
      </c>
      <c r="M40" s="68">
        <f t="shared" si="13"/>
        <v>-10</v>
      </c>
      <c r="N40" s="68">
        <f t="shared" si="13"/>
        <v>-10</v>
      </c>
      <c r="O40" s="68">
        <f t="shared" si="13"/>
        <v>-17</v>
      </c>
      <c r="P40" s="68">
        <f t="shared" si="13"/>
        <v>-20</v>
      </c>
      <c r="Q40" s="68">
        <f t="shared" si="13"/>
        <v>-25</v>
      </c>
      <c r="R40" s="68">
        <f t="shared" si="13"/>
        <v>35</v>
      </c>
      <c r="S40" s="68">
        <f t="shared" si="13"/>
        <v>-20</v>
      </c>
      <c r="T40" s="68">
        <f t="shared" si="13"/>
        <v>-5</v>
      </c>
      <c r="U40" s="68">
        <f t="shared" si="13"/>
        <v>-5</v>
      </c>
      <c r="V40" s="68">
        <f t="shared" si="13"/>
        <v>-5</v>
      </c>
      <c r="W40" s="68">
        <f t="shared" si="13"/>
        <v>-5</v>
      </c>
      <c r="X40" s="68">
        <f t="shared" si="13"/>
        <v>-5</v>
      </c>
      <c r="Y40" s="68">
        <f t="shared" si="13"/>
        <v>-5</v>
      </c>
      <c r="Z40" s="68">
        <f t="shared" si="13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55</v>
      </c>
      <c r="K41" s="68">
        <f t="shared" ref="K41:Z41" si="14">K14+5</f>
        <v>-15</v>
      </c>
      <c r="L41" s="68">
        <f t="shared" si="14"/>
        <v>0</v>
      </c>
      <c r="M41" s="68">
        <f t="shared" si="14"/>
        <v>5</v>
      </c>
      <c r="N41" s="68">
        <f t="shared" si="14"/>
        <v>20</v>
      </c>
      <c r="O41" s="68">
        <f t="shared" si="14"/>
        <v>30</v>
      </c>
      <c r="P41" s="68">
        <f t="shared" si="14"/>
        <v>45</v>
      </c>
      <c r="Q41" s="68">
        <f t="shared" si="14"/>
        <v>-15</v>
      </c>
      <c r="R41" s="68">
        <f t="shared" si="14"/>
        <v>0</v>
      </c>
      <c r="S41" s="68">
        <f t="shared" si="14"/>
        <v>0</v>
      </c>
      <c r="T41" s="68">
        <f t="shared" si="14"/>
        <v>5</v>
      </c>
      <c r="U41" s="68">
        <f t="shared" si="14"/>
        <v>5</v>
      </c>
      <c r="V41" s="68">
        <f t="shared" si="14"/>
        <v>5</v>
      </c>
      <c r="W41" s="68">
        <f t="shared" si="14"/>
        <v>5</v>
      </c>
      <c r="X41" s="68">
        <f t="shared" si="14"/>
        <v>5</v>
      </c>
      <c r="Y41" s="68">
        <f t="shared" si="14"/>
        <v>5</v>
      </c>
      <c r="Z41" s="68">
        <f t="shared" si="14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7</v>
      </c>
      <c r="K42" s="68">
        <f t="shared" si="12"/>
        <v>5</v>
      </c>
      <c r="L42" s="68">
        <f t="shared" si="12"/>
        <v>3</v>
      </c>
      <c r="M42" s="68">
        <f t="shared" si="12"/>
        <v>0</v>
      </c>
      <c r="N42" s="68">
        <f t="shared" si="12"/>
        <v>-7</v>
      </c>
      <c r="O42" s="68">
        <f t="shared" si="12"/>
        <v>-7</v>
      </c>
      <c r="P42" s="68">
        <f t="shared" si="12"/>
        <v>-12</v>
      </c>
      <c r="Q42" s="68">
        <f t="shared" si="12"/>
        <v>5</v>
      </c>
      <c r="R42" s="68">
        <f t="shared" si="12"/>
        <v>3</v>
      </c>
      <c r="S42" s="68">
        <f t="shared" si="12"/>
        <v>0</v>
      </c>
      <c r="T42" s="68">
        <f t="shared" si="12"/>
        <v>0</v>
      </c>
      <c r="U42" s="68">
        <f t="shared" si="12"/>
        <v>0</v>
      </c>
      <c r="V42" s="68">
        <f t="shared" si="12"/>
        <v>0</v>
      </c>
      <c r="W42" s="68">
        <f t="shared" si="12"/>
        <v>0</v>
      </c>
      <c r="X42" s="68">
        <f t="shared" si="12"/>
        <v>0</v>
      </c>
      <c r="Y42" s="68">
        <f t="shared" si="12"/>
        <v>0</v>
      </c>
      <c r="Z42" s="68">
        <f t="shared" si="12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8"/>
  <dimension ref="A1:AB57"/>
  <sheetViews>
    <sheetView topLeftCell="D1" workbookViewId="0">
      <selection activeCell="S23" sqref="S2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9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27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1" t="s">
        <v>62</v>
      </c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0</v>
      </c>
      <c r="K8" s="38">
        <v>-20</v>
      </c>
      <c r="L8" s="38">
        <v>-25</v>
      </c>
      <c r="M8" s="38">
        <v>2</v>
      </c>
      <c r="N8" s="38">
        <v>10</v>
      </c>
      <c r="O8" s="38">
        <v>-4</v>
      </c>
      <c r="P8" s="38">
        <v>-12</v>
      </c>
      <c r="Q8" s="38">
        <v>-1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35</v>
      </c>
      <c r="K9" s="38">
        <v>36.5</v>
      </c>
      <c r="L9" s="38">
        <v>-3.5</v>
      </c>
      <c r="M9" s="38">
        <v>-0.5</v>
      </c>
      <c r="N9" s="38">
        <v>10</v>
      </c>
      <c r="O9" s="38">
        <v>3.5</v>
      </c>
      <c r="P9" s="38">
        <v>36.5</v>
      </c>
      <c r="Q9" s="38">
        <v>10.5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35</v>
      </c>
      <c r="K10" s="38">
        <v>49.100000000000009</v>
      </c>
      <c r="L10" s="38">
        <v>-20.899999999999991</v>
      </c>
      <c r="M10" s="38">
        <v>-17.899999999999991</v>
      </c>
      <c r="N10" s="38">
        <v>-20</v>
      </c>
      <c r="O10" s="38">
        <v>-3.8999999999999915</v>
      </c>
      <c r="P10" s="38">
        <v>19.100000000000001</v>
      </c>
      <c r="Q10" s="38">
        <v>-10.899999999999999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12.300000000000011</v>
      </c>
      <c r="L11" s="38">
        <v>2.3000000000000114</v>
      </c>
      <c r="M11" s="38">
        <v>-5.6999999999999886</v>
      </c>
      <c r="N11" s="38">
        <v>-5.6999999999999886</v>
      </c>
      <c r="O11" s="38">
        <v>0.30000000000001137</v>
      </c>
      <c r="P11" s="38">
        <v>10</v>
      </c>
      <c r="Q11" s="38">
        <v>-2.6999999999999886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15.599999999999994</v>
      </c>
      <c r="K12" s="44">
        <v>15.599999999999994</v>
      </c>
      <c r="L12" s="44">
        <v>10.599999999999994</v>
      </c>
      <c r="M12" s="44">
        <v>10.599999999999994</v>
      </c>
      <c r="N12" s="44">
        <v>-9.4000000000000057</v>
      </c>
      <c r="O12" s="44">
        <v>-9.4000000000000057</v>
      </c>
      <c r="P12" s="44">
        <v>-9.4000000000000057</v>
      </c>
      <c r="Q12" s="44">
        <v>-3.4000000000000057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-0.30000000000000426</v>
      </c>
      <c r="K13" s="44">
        <v>-0.30000000000000426</v>
      </c>
      <c r="L13" s="44">
        <v>0.69999999999999574</v>
      </c>
      <c r="M13" s="44">
        <v>0.69999999999999574</v>
      </c>
      <c r="N13" s="44">
        <v>4.7</v>
      </c>
      <c r="O13" s="44">
        <v>-25.299999999999997</v>
      </c>
      <c r="P13" s="44">
        <v>14.7</v>
      </c>
      <c r="Q13" s="44">
        <v>8.6999999999999993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-4.5999999999999943</v>
      </c>
      <c r="K14" s="44">
        <v>-4.5999999999999943</v>
      </c>
      <c r="L14" s="44">
        <v>-3.5999999999999943</v>
      </c>
      <c r="M14" s="44">
        <v>-3.5999999999999943</v>
      </c>
      <c r="N14" s="44">
        <v>-11.6</v>
      </c>
      <c r="O14" s="44">
        <v>-29.599999999999994</v>
      </c>
      <c r="P14" s="44">
        <v>5.3999999999999986</v>
      </c>
      <c r="Q14" s="44">
        <v>-5.6000000000000014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-0.40000000000000568</v>
      </c>
      <c r="K15" s="44">
        <v>-0.40000000000000568</v>
      </c>
      <c r="L15" s="44">
        <v>-20.400000000000006</v>
      </c>
      <c r="M15" s="44">
        <v>-5.4000000000000057</v>
      </c>
      <c r="N15" s="44">
        <v>-13.400000000000006</v>
      </c>
      <c r="O15" s="44">
        <v>4.5999999999999943</v>
      </c>
      <c r="P15" s="44">
        <v>4.5999999999999943</v>
      </c>
      <c r="Q15" s="44">
        <v>-0.40000000000000568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35</v>
      </c>
      <c r="K25" s="58">
        <f t="shared" si="3"/>
        <v>36.5</v>
      </c>
      <c r="L25" s="58">
        <f t="shared" si="3"/>
        <v>-3.5</v>
      </c>
      <c r="M25" s="58">
        <f t="shared" si="3"/>
        <v>-0.5</v>
      </c>
      <c r="N25" s="58">
        <f t="shared" si="3"/>
        <v>10</v>
      </c>
      <c r="O25" s="58">
        <f t="shared" si="3"/>
        <v>3.5</v>
      </c>
      <c r="P25" s="58">
        <f t="shared" si="3"/>
        <v>36.5</v>
      </c>
      <c r="Q25" s="58">
        <f t="shared" si="3"/>
        <v>10.5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35</v>
      </c>
      <c r="K26" s="58">
        <f t="shared" si="5"/>
        <v>49.100000000000009</v>
      </c>
      <c r="L26" s="58">
        <f t="shared" si="5"/>
        <v>-20.899999999999991</v>
      </c>
      <c r="M26" s="58">
        <f t="shared" si="5"/>
        <v>-17.899999999999991</v>
      </c>
      <c r="N26" s="58">
        <f t="shared" si="5"/>
        <v>-20</v>
      </c>
      <c r="O26" s="58">
        <f t="shared" si="5"/>
        <v>-3.8999999999999915</v>
      </c>
      <c r="P26" s="58">
        <f t="shared" si="5"/>
        <v>19.100000000000001</v>
      </c>
      <c r="Q26" s="58">
        <f t="shared" si="5"/>
        <v>-10.899999999999999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-0.30000000000000426</v>
      </c>
      <c r="K27" s="58">
        <f t="shared" si="7"/>
        <v>-0.30000000000000426</v>
      </c>
      <c r="L27" s="58">
        <f t="shared" si="7"/>
        <v>0.69999999999999574</v>
      </c>
      <c r="M27" s="58">
        <f t="shared" si="7"/>
        <v>0.69999999999999574</v>
      </c>
      <c r="N27" s="58">
        <f t="shared" si="7"/>
        <v>4.7</v>
      </c>
      <c r="O27" s="58">
        <f t="shared" si="7"/>
        <v>-25.299999999999997</v>
      </c>
      <c r="P27" s="58">
        <f t="shared" si="7"/>
        <v>14.7</v>
      </c>
      <c r="Q27" s="58">
        <f t="shared" si="7"/>
        <v>8.6999999999999993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-4.5999999999999943</v>
      </c>
      <c r="K28" s="58">
        <f t="shared" si="8"/>
        <v>-4.5999999999999943</v>
      </c>
      <c r="L28" s="58">
        <f t="shared" si="8"/>
        <v>-3.5999999999999943</v>
      </c>
      <c r="M28" s="58">
        <f t="shared" si="8"/>
        <v>-3.5999999999999943</v>
      </c>
      <c r="N28" s="58">
        <f t="shared" si="8"/>
        <v>-11.6</v>
      </c>
      <c r="O28" s="58">
        <f t="shared" si="8"/>
        <v>-29.599999999999994</v>
      </c>
      <c r="P28" s="58">
        <f t="shared" si="8"/>
        <v>5.3999999999999986</v>
      </c>
      <c r="Q28" s="58">
        <f t="shared" si="8"/>
        <v>-5.6000000000000014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7"/>
  <dimension ref="A1:AB57"/>
  <sheetViews>
    <sheetView topLeftCell="B1" workbookViewId="0">
      <selection activeCell="S15" sqref="S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15.599999999999994</v>
      </c>
      <c r="K8" s="38">
        <v>15.599999999999994</v>
      </c>
      <c r="L8" s="38">
        <v>10.599999999999994</v>
      </c>
      <c r="M8" s="38">
        <v>10.599999999999994</v>
      </c>
      <c r="N8" s="38">
        <v>-9.4000000000000057</v>
      </c>
      <c r="O8" s="38">
        <v>-9.4000000000000057</v>
      </c>
      <c r="P8" s="38">
        <v>-9.4000000000000057</v>
      </c>
      <c r="Q8" s="38">
        <v>-3.4000000000000057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-0.30000000000000426</v>
      </c>
      <c r="K9" s="38">
        <v>-0.30000000000000426</v>
      </c>
      <c r="L9" s="38">
        <v>0.69999999999999574</v>
      </c>
      <c r="M9" s="38">
        <v>0.69999999999999574</v>
      </c>
      <c r="N9" s="38">
        <v>4.7</v>
      </c>
      <c r="O9" s="38">
        <v>-25.299999999999997</v>
      </c>
      <c r="P9" s="38">
        <v>14.7</v>
      </c>
      <c r="Q9" s="38">
        <v>8.6999999999999993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-4.5999999999999943</v>
      </c>
      <c r="K10" s="38">
        <v>-4.5999999999999943</v>
      </c>
      <c r="L10" s="38">
        <v>-3.5999999999999943</v>
      </c>
      <c r="M10" s="38">
        <v>-3.5999999999999943</v>
      </c>
      <c r="N10" s="38">
        <v>-11.6</v>
      </c>
      <c r="O10" s="38">
        <v>-29.599999999999994</v>
      </c>
      <c r="P10" s="38">
        <v>5.3999999999999986</v>
      </c>
      <c r="Q10" s="38">
        <v>-5.6000000000000014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-0.40000000000000568</v>
      </c>
      <c r="K11" s="38">
        <v>-0.40000000000000568</v>
      </c>
      <c r="L11" s="38">
        <v>-20.400000000000006</v>
      </c>
      <c r="M11" s="38">
        <v>-5.4000000000000057</v>
      </c>
      <c r="N11" s="38">
        <v>-13.400000000000006</v>
      </c>
      <c r="O11" s="38">
        <v>4.5999999999999943</v>
      </c>
      <c r="P11" s="38">
        <v>4.5999999999999943</v>
      </c>
      <c r="Q11" s="38">
        <v>-0.40000000000000568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0</v>
      </c>
      <c r="K12" s="44">
        <v>-20</v>
      </c>
      <c r="L12" s="44">
        <v>-25</v>
      </c>
      <c r="M12" s="44">
        <v>2</v>
      </c>
      <c r="N12" s="44">
        <v>10</v>
      </c>
      <c r="O12" s="44">
        <v>-4</v>
      </c>
      <c r="P12" s="44">
        <v>-12</v>
      </c>
      <c r="Q12" s="44">
        <v>-1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35</v>
      </c>
      <c r="K13" s="44">
        <v>36.5</v>
      </c>
      <c r="L13" s="44">
        <v>-3.5</v>
      </c>
      <c r="M13" s="44">
        <v>-0.5</v>
      </c>
      <c r="N13" s="44">
        <v>10</v>
      </c>
      <c r="O13" s="44">
        <v>3.5</v>
      </c>
      <c r="P13" s="44">
        <v>36.5</v>
      </c>
      <c r="Q13" s="44">
        <v>10.5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35</v>
      </c>
      <c r="K14" s="44">
        <v>49.100000000000009</v>
      </c>
      <c r="L14" s="44">
        <v>-20.899999999999991</v>
      </c>
      <c r="M14" s="44">
        <v>-17.899999999999991</v>
      </c>
      <c r="N14" s="44">
        <v>-20</v>
      </c>
      <c r="O14" s="44">
        <v>-3.8999999999999915</v>
      </c>
      <c r="P14" s="44">
        <v>19.100000000000001</v>
      </c>
      <c r="Q14" s="44">
        <v>-10.899999999999999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12.300000000000011</v>
      </c>
      <c r="L15" s="44">
        <v>2.3000000000000114</v>
      </c>
      <c r="M15" s="44">
        <v>-5.6999999999999886</v>
      </c>
      <c r="N15" s="44">
        <v>-5.6999999999999886</v>
      </c>
      <c r="O15" s="44">
        <v>0.30000000000001137</v>
      </c>
      <c r="P15" s="44">
        <v>10</v>
      </c>
      <c r="Q15" s="44">
        <v>-2.6999999999999886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-0.30000000000000426</v>
      </c>
      <c r="K25" s="58">
        <f t="shared" si="3"/>
        <v>-0.30000000000000426</v>
      </c>
      <c r="L25" s="58">
        <f t="shared" si="3"/>
        <v>0.69999999999999574</v>
      </c>
      <c r="M25" s="58">
        <f t="shared" si="3"/>
        <v>0.69999999999999574</v>
      </c>
      <c r="N25" s="58">
        <f t="shared" si="3"/>
        <v>4.7</v>
      </c>
      <c r="O25" s="58">
        <f t="shared" si="3"/>
        <v>-25.299999999999997</v>
      </c>
      <c r="P25" s="58">
        <f t="shared" si="3"/>
        <v>14.7</v>
      </c>
      <c r="Q25" s="58">
        <f t="shared" si="3"/>
        <v>8.6999999999999993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-4.5999999999999943</v>
      </c>
      <c r="K26" s="58">
        <f t="shared" si="5"/>
        <v>-4.5999999999999943</v>
      </c>
      <c r="L26" s="58">
        <f t="shared" si="5"/>
        <v>-3.5999999999999943</v>
      </c>
      <c r="M26" s="58">
        <f t="shared" si="5"/>
        <v>-3.5999999999999943</v>
      </c>
      <c r="N26" s="58">
        <f t="shared" si="5"/>
        <v>-11.6</v>
      </c>
      <c r="O26" s="58">
        <f t="shared" si="5"/>
        <v>-29.599999999999994</v>
      </c>
      <c r="P26" s="58">
        <f t="shared" si="5"/>
        <v>5.3999999999999986</v>
      </c>
      <c r="Q26" s="58">
        <f t="shared" si="5"/>
        <v>-5.6000000000000014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35</v>
      </c>
      <c r="K27" s="58">
        <f t="shared" si="7"/>
        <v>36.5</v>
      </c>
      <c r="L27" s="58">
        <f t="shared" si="7"/>
        <v>-3.5</v>
      </c>
      <c r="M27" s="58">
        <f t="shared" si="7"/>
        <v>-0.5</v>
      </c>
      <c r="N27" s="58">
        <f t="shared" si="7"/>
        <v>10</v>
      </c>
      <c r="O27" s="58">
        <f t="shared" si="7"/>
        <v>3.5</v>
      </c>
      <c r="P27" s="58">
        <f t="shared" si="7"/>
        <v>36.5</v>
      </c>
      <c r="Q27" s="58">
        <f t="shared" si="7"/>
        <v>10.5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35</v>
      </c>
      <c r="K28" s="58">
        <f t="shared" si="8"/>
        <v>49.100000000000009</v>
      </c>
      <c r="L28" s="58">
        <f t="shared" si="8"/>
        <v>-20.899999999999991</v>
      </c>
      <c r="M28" s="58">
        <f t="shared" si="8"/>
        <v>-17.899999999999991</v>
      </c>
      <c r="N28" s="58">
        <f t="shared" si="8"/>
        <v>-20</v>
      </c>
      <c r="O28" s="58">
        <f t="shared" si="8"/>
        <v>-3.8999999999999915</v>
      </c>
      <c r="P28" s="58">
        <f t="shared" si="8"/>
        <v>19.100000000000001</v>
      </c>
      <c r="Q28" s="58">
        <f t="shared" si="8"/>
        <v>-10.899999999999999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/>
  <dimension ref="A1:AB57"/>
  <sheetViews>
    <sheetView topLeftCell="E1" workbookViewId="0">
      <selection activeCell="R20" sqref="R20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77</v>
      </c>
      <c r="K3" s="61" t="s">
        <v>78</v>
      </c>
      <c r="L3" s="61" t="s">
        <v>79</v>
      </c>
      <c r="M3" s="61" t="s">
        <v>80</v>
      </c>
      <c r="N3" s="61" t="s">
        <v>81</v>
      </c>
      <c r="O3" s="61" t="s">
        <v>82</v>
      </c>
      <c r="P3" s="61" t="s">
        <v>83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15</v>
      </c>
      <c r="K16" s="51">
        <v>-30</v>
      </c>
      <c r="L16" s="51">
        <v>-30</v>
      </c>
      <c r="M16" s="51">
        <v>20</v>
      </c>
      <c r="N16" s="51">
        <v>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:AB26" si="4">G10</f>
        <v>0</v>
      </c>
      <c r="H26" s="58">
        <f t="shared" si="4"/>
        <v>0</v>
      </c>
      <c r="I26" s="58">
        <f t="shared" si="4"/>
        <v>0</v>
      </c>
      <c r="J26" s="58">
        <f t="shared" si="4"/>
        <v>0</v>
      </c>
      <c r="K26" s="58">
        <f t="shared" si="4"/>
        <v>0</v>
      </c>
      <c r="L26" s="58">
        <f t="shared" si="4"/>
        <v>8</v>
      </c>
      <c r="M26" s="58">
        <f t="shared" si="4"/>
        <v>-3</v>
      </c>
      <c r="N26" s="58">
        <f t="shared" si="4"/>
        <v>0</v>
      </c>
      <c r="O26" s="58">
        <f t="shared" si="4"/>
        <v>0</v>
      </c>
      <c r="P26" s="58">
        <f t="shared" si="4"/>
        <v>0</v>
      </c>
      <c r="Q26" s="58">
        <f t="shared" si="4"/>
        <v>0</v>
      </c>
      <c r="R26" s="58">
        <f t="shared" si="4"/>
        <v>0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V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0</v>
      </c>
      <c r="L27" s="58">
        <f t="shared" si="5"/>
        <v>8</v>
      </c>
      <c r="M27" s="58">
        <f t="shared" si="5"/>
        <v>-3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ref="H27:AB28" si="6">W13</f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6"/>
        <v>0</v>
      </c>
      <c r="I28" s="58">
        <f t="shared" si="6"/>
        <v>0</v>
      </c>
      <c r="J28" s="58">
        <f t="shared" si="6"/>
        <v>0</v>
      </c>
      <c r="K28" s="58">
        <f t="shared" si="6"/>
        <v>0</v>
      </c>
      <c r="L28" s="58">
        <f t="shared" si="6"/>
        <v>8</v>
      </c>
      <c r="M28" s="58">
        <f t="shared" si="6"/>
        <v>-3</v>
      </c>
      <c r="N28" s="58">
        <f t="shared" si="6"/>
        <v>0</v>
      </c>
      <c r="O28" s="58">
        <f t="shared" si="6"/>
        <v>0</v>
      </c>
      <c r="P28" s="58">
        <f t="shared" si="6"/>
        <v>0</v>
      </c>
      <c r="Q28" s="58">
        <f t="shared" si="6"/>
        <v>0</v>
      </c>
      <c r="R28" s="58">
        <f t="shared" si="6"/>
        <v>0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5"/>
  <dimension ref="A1:AB57"/>
  <sheetViews>
    <sheetView workbookViewId="0">
      <selection activeCell="G65" sqref="G6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-15</v>
      </c>
      <c r="K16" s="51">
        <v>30</v>
      </c>
      <c r="L16" s="51">
        <v>30</v>
      </c>
      <c r="M16" s="51">
        <v>-20</v>
      </c>
      <c r="N16" s="51">
        <v>-30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0</v>
      </c>
      <c r="K26" s="58">
        <f t="shared" si="5"/>
        <v>0</v>
      </c>
      <c r="L26" s="58">
        <f t="shared" si="5"/>
        <v>8</v>
      </c>
      <c r="M26" s="58">
        <f t="shared" si="5"/>
        <v>-3</v>
      </c>
      <c r="N26" s="58">
        <f t="shared" si="5"/>
        <v>0</v>
      </c>
      <c r="O26" s="58">
        <f t="shared" si="5"/>
        <v>0</v>
      </c>
      <c r="P26" s="58">
        <f t="shared" si="5"/>
        <v>0</v>
      </c>
      <c r="Q26" s="58">
        <f t="shared" si="5"/>
        <v>0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0</v>
      </c>
      <c r="K27" s="58">
        <f t="shared" si="7"/>
        <v>0</v>
      </c>
      <c r="L27" s="58">
        <f t="shared" si="7"/>
        <v>8</v>
      </c>
      <c r="M27" s="58">
        <f t="shared" si="7"/>
        <v>-3</v>
      </c>
      <c r="N27" s="58">
        <f t="shared" si="7"/>
        <v>0</v>
      </c>
      <c r="O27" s="58">
        <f t="shared" si="7"/>
        <v>0</v>
      </c>
      <c r="P27" s="58">
        <f t="shared" si="7"/>
        <v>0</v>
      </c>
      <c r="Q27" s="58">
        <f t="shared" si="7"/>
        <v>0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0</v>
      </c>
      <c r="K28" s="58">
        <f t="shared" si="8"/>
        <v>0</v>
      </c>
      <c r="L28" s="58">
        <f t="shared" si="8"/>
        <v>8</v>
      </c>
      <c r="M28" s="58">
        <f t="shared" si="8"/>
        <v>-3</v>
      </c>
      <c r="N28" s="58">
        <f t="shared" si="8"/>
        <v>0</v>
      </c>
      <c r="O28" s="58">
        <f t="shared" si="8"/>
        <v>0</v>
      </c>
      <c r="P28" s="58">
        <f t="shared" si="8"/>
        <v>0</v>
      </c>
      <c r="Q28" s="58">
        <f t="shared" si="8"/>
        <v>0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6"/>
  <sheetViews>
    <sheetView workbookViewId="0">
      <selection activeCell="AF7" sqref="AF7"/>
    </sheetView>
  </sheetViews>
  <sheetFormatPr defaultRowHeight="13"/>
  <cols>
    <col min="1" max="7" width="8.7265625" style="70"/>
  </cols>
  <sheetData>
    <row r="1" spans="2:7" ht="13.5" thickBot="1"/>
    <row r="2" spans="2:7" ht="13.5" thickBot="1">
      <c r="B2" s="71" t="s">
        <v>90</v>
      </c>
      <c r="C2" s="72"/>
      <c r="E2" s="73" t="s">
        <v>91</v>
      </c>
      <c r="F2" s="74"/>
      <c r="G2" s="75"/>
    </row>
    <row r="3" spans="2:7">
      <c r="B3" s="73" t="s">
        <v>23</v>
      </c>
      <c r="C3" s="76">
        <v>5</v>
      </c>
      <c r="E3" s="77" t="s">
        <v>29</v>
      </c>
      <c r="G3" s="78" t="s">
        <v>30</v>
      </c>
    </row>
    <row r="4" spans="2:7" ht="13.5" thickBot="1">
      <c r="B4" s="79" t="s">
        <v>24</v>
      </c>
      <c r="C4" s="80">
        <v>115200</v>
      </c>
      <c r="E4" s="81">
        <v>10</v>
      </c>
      <c r="F4" s="82" t="s">
        <v>92</v>
      </c>
      <c r="G4" s="83"/>
    </row>
    <row r="5" spans="2:7">
      <c r="B5" s="79" t="s">
        <v>25</v>
      </c>
      <c r="C5" s="80" t="s">
        <v>28</v>
      </c>
      <c r="E5" s="84" t="s">
        <v>31</v>
      </c>
      <c r="F5" s="82" t="s">
        <v>93</v>
      </c>
      <c r="G5" s="85"/>
    </row>
    <row r="6" spans="2:7" ht="13.5" thickBot="1">
      <c r="B6" s="79" t="s">
        <v>26</v>
      </c>
      <c r="C6" s="80">
        <v>8</v>
      </c>
      <c r="E6" s="81">
        <v>1</v>
      </c>
      <c r="F6" s="82" t="s">
        <v>94</v>
      </c>
      <c r="G6" s="85"/>
    </row>
    <row r="7" spans="2:7" ht="13.5" thickBot="1">
      <c r="B7" s="86" t="s">
        <v>27</v>
      </c>
      <c r="C7" s="87">
        <v>1</v>
      </c>
      <c r="F7" s="85">
        <v>0</v>
      </c>
      <c r="G7" s="85"/>
    </row>
    <row r="8" spans="2:7">
      <c r="F8" s="85">
        <v>1</v>
      </c>
      <c r="G8" s="85"/>
    </row>
    <row r="9" spans="2:7">
      <c r="F9" s="85">
        <v>6</v>
      </c>
      <c r="G9" s="85"/>
    </row>
    <row r="10" spans="2:7">
      <c r="F10" s="85">
        <v>0</v>
      </c>
      <c r="G10" s="85"/>
    </row>
    <row r="11" spans="2:7">
      <c r="F11" s="85">
        <v>3</v>
      </c>
      <c r="G11" s="85"/>
    </row>
    <row r="12" spans="2:7">
      <c r="F12" s="85">
        <v>40</v>
      </c>
      <c r="G12" s="85"/>
    </row>
    <row r="13" spans="2:7">
      <c r="F13" s="88">
        <v>0</v>
      </c>
    </row>
    <row r="14" spans="2:7">
      <c r="F14" s="88">
        <v>1</v>
      </c>
    </row>
    <row r="15" spans="2:7">
      <c r="F15" s="70" t="s">
        <v>95</v>
      </c>
    </row>
    <row r="16" spans="2:7">
      <c r="F16" s="70">
        <v>66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2:D7"/>
  <sheetViews>
    <sheetView workbookViewId="0">
      <selection activeCell="D19" sqref="D19"/>
    </sheetView>
  </sheetViews>
  <sheetFormatPr defaultRowHeight="13"/>
  <sheetData>
    <row r="2" spans="4:4">
      <c r="D2" s="69" t="s">
        <v>84</v>
      </c>
    </row>
    <row r="3" spans="4:4">
      <c r="D3" s="69" t="s">
        <v>85</v>
      </c>
    </row>
    <row r="4" spans="4:4">
      <c r="D4" s="69" t="s">
        <v>86</v>
      </c>
    </row>
    <row r="5" spans="4:4">
      <c r="D5" s="69" t="s">
        <v>87</v>
      </c>
    </row>
    <row r="6" spans="4:4">
      <c r="D6" s="69" t="s">
        <v>88</v>
      </c>
    </row>
    <row r="7" spans="4:4">
      <c r="D7" s="69" t="s">
        <v>89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dynamixel</vt:lpstr>
      <vt:lpstr>Atk_R_low</vt:lpstr>
      <vt:lpstr>Atk_R_high</vt:lpstr>
      <vt:lpstr>Atk_B</vt:lpstr>
      <vt:lpstr>Atk_F</vt:lpstr>
      <vt:lpstr>Atk_L_low</vt:lpstr>
      <vt:lpstr>Atk_L_high</vt:lpstr>
      <vt:lpstr>WakeB</vt:lpstr>
      <vt:lpstr>WakeF</vt:lpstr>
      <vt:lpstr>Back</vt:lpstr>
      <vt:lpstr>Walk</vt:lpstr>
      <vt:lpstr>Left</vt:lpstr>
      <vt:lpstr>Right</vt:lpstr>
      <vt:lpstr>LRoll</vt:lpstr>
      <vt:lpstr>RRoll</vt:lpstr>
      <vt:lpstr>COM</vt:lpstr>
      <vt:lpstr>git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NYX</dc:creator>
  <cp:lastModifiedBy>gisen</cp:lastModifiedBy>
  <dcterms:created xsi:type="dcterms:W3CDTF">2015-05-03T10:14:58Z</dcterms:created>
  <dcterms:modified xsi:type="dcterms:W3CDTF">2024-05-22T09:10:42Z</dcterms:modified>
</cp:coreProperties>
</file>