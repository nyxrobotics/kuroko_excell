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xWindow="-110" yWindow="-110" windowWidth="23260" windowHeight="13180"/>
  </bookViews>
  <sheets>
    <sheet name="dynamixel" sheetId="35" r:id="rId1"/>
    <sheet name="Atk_R_low" sheetId="27" r:id="rId2"/>
    <sheet name="Atk_R_high" sheetId="26" r:id="rId3"/>
    <sheet name="Atk_B" sheetId="31" r:id="rId4"/>
    <sheet name="Atk_F" sheetId="30" r:id="rId5"/>
    <sheet name="Atk_L_low" sheetId="29" r:id="rId6"/>
    <sheet name="Atk_L_high" sheetId="28" r:id="rId7"/>
    <sheet name="WakeB" sheetId="25" r:id="rId8"/>
    <sheet name="WakeF" sheetId="24" r:id="rId9"/>
    <sheet name="Back" sheetId="33" r:id="rId10"/>
    <sheet name="Walk" sheetId="23" r:id="rId11"/>
    <sheet name="Left" sheetId="13" r:id="rId12"/>
    <sheet name="Right" sheetId="12" r:id="rId13"/>
    <sheet name="LRoll" sheetId="11" r:id="rId14"/>
    <sheet name="RRoll" sheetId="10" r:id="rId15"/>
    <sheet name="COM" sheetId="1" r:id="rId16"/>
    <sheet name="git" sheetId="34" r:id="rId17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9" i="35" l="1"/>
  <c r="E26" i="35" l="1"/>
  <c r="E27" i="35"/>
  <c r="E28" i="35"/>
  <c r="E15" i="35"/>
  <c r="E16" i="35"/>
  <c r="E17" i="35"/>
  <c r="E18" i="35"/>
  <c r="E14" i="35"/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  <comment ref="G1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>
  <authors>
    <author>NYX</author>
  </authors>
  <commentList>
    <comment ref="B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<sst xmlns="http://schemas.openxmlformats.org/spreadsheetml/2006/main" count="1249" uniqueCount="108">
  <si>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</si>
  <si>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</si>
  <si>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</si>
  <si>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</si>
  <si>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</si>
  <si>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</si>
  <si>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</si>
  <si>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</si>
  <si>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</si>
  <si>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</si>
  <si>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</si>
  <si>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</si>
  <si>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</si>
  <si>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</si>
  <si>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</si>
  <si>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</si>
  <si>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</si>
  <si>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</si>
  <si>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</si>
  <si>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</si>
  <si>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</si>
  <si>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</si>
  <si>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</si>
  <si>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</si>
  <si>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</si>
  <si>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</si>
  <si>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</si>
  <si>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</si>
  <si>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</si>
  <si>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</si>
  <si>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</si>
  <si>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</si>
  <si>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</si>
  <si>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</si>
  <si>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</si>
  <si>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</si>
  <si>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</si>
  <si>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</si>
  <si>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</si>
  <si>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</si>
  <si>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</si>
  <si>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</si>
  <si>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</si>
  <si>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</si>
  <si>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</si>
  <si>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</si>
  <si>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</si>
  <si>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</si>
  <si>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</si>
  <si>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</si>
  <si>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</si>
  <si>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</si>
  <si>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</si>
  <si>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</si>
  <si>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</si>
  <si>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</si>
  <si>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</si>
  <si>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</si>
  <si>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</si>
  <si>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</si>
  <si>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</si>
  <si>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</si>
  <si>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</si>
  <si>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</si>
  <si>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</si>
  <si>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</si>
  <si>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</si>
  <si>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</si>
  <si>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</si>
  <si>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</si>
  <si>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</si>
  <si>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</si>
  <si>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</si>
  <si>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</si>
  <si>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</si>
  <si>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</si>
  <si>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</si>
  <si>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</si>
  <si>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</si>
  <si>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</si>
  <si>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</si>
  <si>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</si>
  <si>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</si>
  <si>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</si>
  <si>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</si>
  <si>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</si>
  <si>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</si>
  <si>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</si>
  <si>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</si>
  <si>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</si>
  <si>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</si>
  <si>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</si>
  <si>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</si>
  <si>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</si>
  <si>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</si>
  <si>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</si>
  <si>
    <t>右足首Y</t>
    <rPh sb="0" eb="3">
      <t>ミギアシクビ</t>
    </rPh>
    <phoneticPr fontId="2"/>
  </si>
  <si>
    <t>右足首R</t>
    <rPh sb="0" eb="3">
      <t>ミギアシクビ</t>
    </rPh>
    <phoneticPr fontId="1"/>
  </si>
  <si>
    <t>右脛</t>
    <rPh sb="0" eb="2">
      <t>ミギスネ</t>
    </rPh>
    <phoneticPr fontId="2"/>
  </si>
  <si>
    <t>左足首Y</t>
    <rPh sb="0" eb="3">
      <t>ヒダリアシクビ</t>
    </rPh>
    <phoneticPr fontId="2"/>
  </si>
  <si>
    <t>左足首R</t>
    <rPh sb="0" eb="3">
      <t>ヒダリアシクビ</t>
    </rPh>
    <phoneticPr fontId="1"/>
  </si>
  <si>
    <t>左脛</t>
    <rPh sb="0" eb="1">
      <t>ヒダリ</t>
    </rPh>
    <rPh sb="1" eb="2">
      <t>スネ</t>
    </rPh>
    <phoneticPr fontId="2"/>
  </si>
  <si>
    <t>左腿</t>
    <rPh sb="1" eb="2">
      <t>モモ</t>
    </rPh>
    <phoneticPr fontId="2"/>
  </si>
  <si>
    <t>左股R</t>
    <rPh sb="0" eb="1">
      <t>ヒダリ</t>
    </rPh>
    <rPh sb="1" eb="2">
      <t>マタ</t>
    </rPh>
    <phoneticPr fontId="2"/>
  </si>
  <si>
    <t>左股P</t>
    <rPh sb="0" eb="1">
      <t>ヒダリ</t>
    </rPh>
    <phoneticPr fontId="1"/>
  </si>
  <si>
    <t>右股P</t>
    <rPh sb="0" eb="1">
      <t>ミギ</t>
    </rPh>
    <rPh sb="1" eb="2">
      <t>マタ</t>
    </rPh>
    <phoneticPr fontId="1"/>
  </si>
  <si>
    <t>右股R</t>
    <rPh sb="0" eb="1">
      <t>ミギ</t>
    </rPh>
    <phoneticPr fontId="2"/>
  </si>
  <si>
    <t>腰Y</t>
    <rPh sb="0" eb="1">
      <t>コシ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</si>
</sst>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2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  <font>
      <sz val="11"/>
      <color rgb="FFFF0000"/>
      <name val="ＭＳ ゴシック"/>
      <family val="3"/>
      <charset val="128"/>
    </font>
    <font>
      <sz val="11"/>
      <color rgb="FF0000FF"/>
      <name val="ＭＳ 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177" fontId="21" fillId="10" borderId="4" xfId="0" applyNumberFormat="1" applyFont="1" applyFill="1" applyBorder="1" applyAlignment="1">
      <alignment horizontal="right" vertical="center"/>
    </xf>
    <xf numFmtId="177" fontId="21" fillId="11" borderId="4" xfId="0" applyNumberFormat="1" applyFont="1" applyFill="1" applyBorder="1" applyAlignment="1">
      <alignment horizontal="right" vertical="center"/>
    </xf>
    <xf numFmtId="0" fontId="0" fillId="11" borderId="0" xfId="0" applyFill="1">
      <alignment vertical="center"/>
    </xf>
    <xf numFmtId="177" fontId="22" fillId="12" borderId="4" xfId="0" applyNumberFormat="1" applyFont="1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7448" y="1002862"/>
          <a:ext cx="608724" cy="166414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A1:AB51"/>
  <sheetViews>
    <sheetView tabSelected="1" zoomScale="145" zoomScaleNormal="145" workbookViewId="0">
      <selection activeCell="J1" sqref="J1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89">
        <v>0</v>
      </c>
      <c r="D8" s="10">
        <v>1</v>
      </c>
      <c r="E8" s="37">
        <v>0</v>
      </c>
      <c r="F8" s="38">
        <v>50</v>
      </c>
      <c r="G8" s="38">
        <v>0</v>
      </c>
      <c r="H8" s="38">
        <v>1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89">
        <v>0</v>
      </c>
      <c r="D9" s="10">
        <v>2</v>
      </c>
      <c r="E9" s="37">
        <v>0</v>
      </c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</row>
    <row r="10" spans="1:28">
      <c r="A10" s="34" t="s">
        <v>98</v>
      </c>
      <c r="B10" s="39">
        <v>8</v>
      </c>
      <c r="C10" s="89">
        <v>0</v>
      </c>
      <c r="D10" s="10">
        <v>3</v>
      </c>
      <c r="E10" s="37">
        <v>1</v>
      </c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</row>
    <row r="11" spans="1:28">
      <c r="A11" s="34" t="s">
        <v>10</v>
      </c>
      <c r="B11" s="35">
        <v>7</v>
      </c>
      <c r="C11" s="89">
        <v>0</v>
      </c>
      <c r="D11" s="10">
        <v>4</v>
      </c>
      <c r="E11" s="37">
        <v>0</v>
      </c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</row>
    <row r="12" spans="1:28">
      <c r="A12" s="34" t="s">
        <v>105</v>
      </c>
      <c r="B12" s="35">
        <v>6</v>
      </c>
      <c r="C12" s="89">
        <v>0</v>
      </c>
      <c r="D12" s="10">
        <v>5</v>
      </c>
      <c r="E12" s="37">
        <v>0</v>
      </c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</row>
    <row r="13" spans="1:28">
      <c r="A13" s="34" t="s">
        <v>106</v>
      </c>
      <c r="B13" s="35">
        <v>2</v>
      </c>
      <c r="C13" s="89">
        <v>0</v>
      </c>
      <c r="D13" s="10">
        <v>6</v>
      </c>
      <c r="E13" s="37">
        <v>1</v>
      </c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</row>
    <row r="14" spans="1:28" s="91" customFormat="1">
      <c r="A14" s="40" t="s">
        <v>99</v>
      </c>
      <c r="B14" s="45">
        <v>15</v>
      </c>
      <c r="C14" s="90">
        <v>0</v>
      </c>
      <c r="D14" s="11">
        <v>1</v>
      </c>
      <c r="E14" s="43">
        <f>IF(E8=0,1,0)</f>
        <v>1</v>
      </c>
      <c r="F14" s="44">
        <v>50</v>
      </c>
      <c r="G14" s="44">
        <v>0</v>
      </c>
      <c r="H14" s="44">
        <v>1</v>
      </c>
      <c r="I14" s="44">
        <v>0</v>
      </c>
      <c r="J14" s="44">
        <v>25</v>
      </c>
      <c r="K14" s="44">
        <v>7</v>
      </c>
      <c r="L14" s="44">
        <v>7</v>
      </c>
      <c r="M14" s="44">
        <v>-3</v>
      </c>
      <c r="N14" s="44">
        <v>-3</v>
      </c>
      <c r="O14" s="44">
        <v>2</v>
      </c>
      <c r="P14" s="44">
        <v>2</v>
      </c>
      <c r="Q14" s="44">
        <v>10</v>
      </c>
      <c r="R14" s="44">
        <v>7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91" customFormat="1">
      <c r="A15" s="40" t="s">
        <v>100</v>
      </c>
      <c r="B15" s="45">
        <v>14</v>
      </c>
      <c r="C15" s="90">
        <v>0</v>
      </c>
      <c r="D15" s="11">
        <v>2</v>
      </c>
      <c r="E15" s="43">
        <f t="shared" ref="E15:E19" si="1">IF(E9=0,1,0)</f>
        <v>1</v>
      </c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</row>
    <row r="16" spans="1:28" s="91" customFormat="1">
      <c r="A16" s="40" t="s">
        <v>101</v>
      </c>
      <c r="B16" s="41">
        <v>13</v>
      </c>
      <c r="C16" s="90">
        <v>0</v>
      </c>
      <c r="D16" s="11">
        <v>3</v>
      </c>
      <c r="E16" s="43">
        <f t="shared" si="1"/>
        <v>0</v>
      </c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</row>
    <row r="17" spans="1:28" s="91" customFormat="1">
      <c r="A17" s="40" t="s">
        <v>102</v>
      </c>
      <c r="B17" s="45">
        <v>12</v>
      </c>
      <c r="C17" s="90">
        <v>0</v>
      </c>
      <c r="D17" s="11">
        <v>4</v>
      </c>
      <c r="E17" s="43">
        <f t="shared" si="1"/>
        <v>1</v>
      </c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</row>
    <row r="18" spans="1:28" s="91" customFormat="1">
      <c r="A18" s="40" t="s">
        <v>104</v>
      </c>
      <c r="B18" s="45">
        <v>11</v>
      </c>
      <c r="C18" s="90">
        <v>0</v>
      </c>
      <c r="D18" s="11">
        <v>5</v>
      </c>
      <c r="E18" s="43">
        <f t="shared" si="1"/>
        <v>1</v>
      </c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</row>
    <row r="19" spans="1:28" s="91" customFormat="1">
      <c r="A19" s="40" t="s">
        <v>103</v>
      </c>
      <c r="B19" s="45">
        <v>3</v>
      </c>
      <c r="C19" s="90">
        <v>0</v>
      </c>
      <c r="D19" s="11">
        <v>6</v>
      </c>
      <c r="E19" s="43">
        <f>E13</f>
        <v>1</v>
      </c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</row>
    <row r="20" spans="1:28">
      <c r="A20" s="47" t="s">
        <v>107</v>
      </c>
      <c r="B20" s="48">
        <v>1</v>
      </c>
      <c r="C20" s="92">
        <v>0</v>
      </c>
      <c r="D20" s="12" t="s">
        <v>45</v>
      </c>
      <c r="E20" s="50">
        <v>1</v>
      </c>
      <c r="F20" s="51">
        <v>0</v>
      </c>
      <c r="G20" s="51">
        <v>0</v>
      </c>
      <c r="H20" s="51">
        <v>0</v>
      </c>
      <c r="I20" s="51">
        <v>90</v>
      </c>
      <c r="J20" s="51">
        <v>-90</v>
      </c>
      <c r="K20" s="51">
        <v>-45</v>
      </c>
      <c r="L20" s="51">
        <v>-50</v>
      </c>
      <c r="M20" s="51">
        <v>-100</v>
      </c>
      <c r="N20" s="51">
        <v>-100</v>
      </c>
      <c r="O20" s="51">
        <v>-100</v>
      </c>
      <c r="P20" s="51">
        <v>-100</v>
      </c>
      <c r="Q20" s="51">
        <v>-100</v>
      </c>
      <c r="R20" s="51">
        <v>-50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89">
        <v>0</v>
      </c>
      <c r="D21" s="10">
        <v>5</v>
      </c>
      <c r="E21" s="37">
        <v>1</v>
      </c>
      <c r="F21" s="38">
        <v>60</v>
      </c>
      <c r="G21" s="38">
        <v>0</v>
      </c>
      <c r="H21" s="38">
        <v>0</v>
      </c>
      <c r="I21" s="38">
        <v>0</v>
      </c>
      <c r="J21" s="38">
        <v>-150</v>
      </c>
      <c r="K21" s="38">
        <v>-40</v>
      </c>
      <c r="L21" s="38">
        <v>-30</v>
      </c>
      <c r="M21" s="38">
        <v>-60</v>
      </c>
      <c r="N21" s="38">
        <v>-120</v>
      </c>
      <c r="O21" s="38">
        <v>-120</v>
      </c>
      <c r="P21" s="38">
        <v>-150</v>
      </c>
      <c r="Q21" s="38">
        <v>-40</v>
      </c>
      <c r="R21" s="38">
        <v>0</v>
      </c>
      <c r="S21" s="38">
        <v>100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89">
        <v>0</v>
      </c>
      <c r="D22" s="10">
        <v>6</v>
      </c>
      <c r="E22" s="37">
        <v>0</v>
      </c>
      <c r="F22" s="38">
        <v>3</v>
      </c>
      <c r="G22" s="38">
        <v>0</v>
      </c>
      <c r="H22" s="38">
        <v>0</v>
      </c>
      <c r="I22" s="38">
        <v>0</v>
      </c>
      <c r="J22" s="38">
        <v>45</v>
      </c>
      <c r="K22" s="38">
        <v>20</v>
      </c>
      <c r="L22" s="38">
        <v>0</v>
      </c>
      <c r="M22" s="38">
        <v>30</v>
      </c>
      <c r="N22" s="38">
        <v>80</v>
      </c>
      <c r="O22" s="38">
        <v>80</v>
      </c>
      <c r="P22" s="38">
        <v>80</v>
      </c>
      <c r="Q22" s="38">
        <v>80</v>
      </c>
      <c r="R22" s="38">
        <v>80</v>
      </c>
      <c r="S22" s="38">
        <v>80</v>
      </c>
      <c r="T22" s="38">
        <v>15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89">
        <v>0</v>
      </c>
      <c r="D23" s="10">
        <v>7</v>
      </c>
      <c r="E23" s="37">
        <v>0</v>
      </c>
      <c r="F23" s="38">
        <v>100</v>
      </c>
      <c r="G23" s="38">
        <v>0</v>
      </c>
      <c r="H23" s="38">
        <v>0</v>
      </c>
      <c r="I23" s="38">
        <v>0</v>
      </c>
      <c r="J23" s="38">
        <v>0</v>
      </c>
      <c r="K23" s="38">
        <v>0</v>
      </c>
      <c r="L23" s="38">
        <v>0</v>
      </c>
      <c r="M23" s="38">
        <v>-90</v>
      </c>
      <c r="N23" s="38">
        <v>-120</v>
      </c>
      <c r="O23" s="38">
        <v>-120</v>
      </c>
      <c r="P23" s="38">
        <v>-120</v>
      </c>
      <c r="Q23" s="38">
        <v>-90</v>
      </c>
      <c r="R23" s="38">
        <v>-80</v>
      </c>
      <c r="S23" s="38">
        <v>-80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89">
        <v>0</v>
      </c>
      <c r="D24" s="10">
        <v>8</v>
      </c>
      <c r="E24" s="37">
        <v>1</v>
      </c>
      <c r="F24" s="38">
        <v>100</v>
      </c>
      <c r="G24" s="38">
        <v>0</v>
      </c>
      <c r="H24" s="38">
        <v>0</v>
      </c>
      <c r="I24" s="38">
        <v>0</v>
      </c>
      <c r="J24" s="38">
        <v>-180</v>
      </c>
      <c r="K24" s="38">
        <v>-180</v>
      </c>
      <c r="L24" s="38">
        <v>-150</v>
      </c>
      <c r="M24" s="38">
        <v>-90</v>
      </c>
      <c r="N24" s="38">
        <v>-120</v>
      </c>
      <c r="O24" s="38">
        <v>-120</v>
      </c>
      <c r="P24" s="38">
        <v>-120</v>
      </c>
      <c r="Q24" s="38">
        <v>-90</v>
      </c>
      <c r="R24" s="38">
        <v>-80</v>
      </c>
      <c r="S24" s="38">
        <v>-80</v>
      </c>
      <c r="T24" s="38">
        <v>-180</v>
      </c>
      <c r="U24" s="38">
        <v>-180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0">
        <v>0</v>
      </c>
      <c r="D25" s="11">
        <v>5</v>
      </c>
      <c r="E25" s="43">
        <v>0</v>
      </c>
      <c r="F25" s="44">
        <v>65</v>
      </c>
      <c r="G25" s="44"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0">
        <v>0</v>
      </c>
      <c r="D26" s="11">
        <v>6</v>
      </c>
      <c r="E26" s="43">
        <f t="shared" ref="E26:E28" si="2">IF(E22=0,1,0)</f>
        <v>1</v>
      </c>
      <c r="F26" s="44">
        <v>0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-30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0">
        <v>0</v>
      </c>
      <c r="D27" s="11">
        <v>7</v>
      </c>
      <c r="E27" s="43">
        <f t="shared" si="2"/>
        <v>1</v>
      </c>
      <c r="F27" s="44">
        <v>100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0">
        <v>0</v>
      </c>
      <c r="D28" s="11">
        <v>8</v>
      </c>
      <c r="E28" s="43">
        <f t="shared" si="2"/>
        <v>0</v>
      </c>
      <c r="F28" s="44">
        <v>100</v>
      </c>
      <c r="G28" s="44"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AB8:AB19" name="入力範囲_4_1_1_1_1"/>
    <protectedRange sqref="H8:AA19" name="入力範囲_4_1_1_1_1_1"/>
    <protectedRange sqref="E8:G13 F14:G19" name="入力範囲_4_1_1_1_3_1_1"/>
    <protectedRange sqref="Y20:AB20" name="入力範囲_4_1_1_1_1_2"/>
    <protectedRange sqref="H20:X20" name="入力範囲_4_1_1_1_1_1_1"/>
    <protectedRange sqref="E20:G20" name="入力範囲_4_1_1_1_3_1_1_1"/>
    <protectedRange sqref="E14:E19 E25:E28" name="入力範囲_4_1_1_1_3_1_1_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workbookViewId="0">
      <selection activeCell="E12" sqref="E1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workbookViewId="0">
      <selection activeCell="F3" sqref="F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workbookViewId="0">
      <selection activeCell="E4" sqref="E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workbookViewId="0">
      <selection activeCell="N28" sqref="N2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workbookViewId="0">
      <selection activeCell="Q24" sqref="Q2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G65" sqref="G6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workbookViewId="0">
      <selection activeCell="AF7" sqref="AF7"/>
    </sheetView>
  </sheetViews>
  <sheetFormatPr defaultRowHeight="13"/>
  <cols>
    <col min="1" max="7" width="8.7265625" style="70"/>
  </cols>
  <sheetData>
    <row r="1" spans="2:7" ht="13.5" thickBot="1"/>
    <row r="2" spans="2:7" ht="13.5" thickBot="1">
      <c r="B2" s="71" t="s">
        <v>90</v>
      </c>
      <c r="C2" s="72"/>
      <c r="E2" s="73" t="s">
        <v>91</v>
      </c>
      <c r="F2" s="74"/>
      <c r="G2" s="75"/>
    </row>
    <row r="3" spans="2:7">
      <c r="B3" s="73" t="s">
        <v>23</v>
      </c>
      <c r="C3" s="76">
        <v>5</v>
      </c>
      <c r="E3" s="77" t="s">
        <v>29</v>
      </c>
      <c r="G3" s="78" t="s">
        <v>30</v>
      </c>
    </row>
    <row r="4" spans="2:7" ht="13.5" thickBot="1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5" thickBot="1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5" thickBot="1">
      <c r="B7" s="86" t="s">
        <v>27</v>
      </c>
      <c r="C7" s="87">
        <v>1</v>
      </c>
      <c r="F7" s="85">
        <v>0</v>
      </c>
      <c r="G7" s="85"/>
    </row>
    <row r="8" spans="2:7">
      <c r="F8" s="85">
        <v>1</v>
      </c>
      <c r="G8" s="85"/>
    </row>
    <row r="9" spans="2:7">
      <c r="F9" s="85">
        <v>6</v>
      </c>
      <c r="G9" s="85"/>
    </row>
    <row r="10" spans="2:7">
      <c r="F10" s="85">
        <v>0</v>
      </c>
      <c r="G10" s="85"/>
    </row>
    <row r="11" spans="2:7">
      <c r="F11" s="85">
        <v>3</v>
      </c>
      <c r="G11" s="85"/>
    </row>
    <row r="12" spans="2:7">
      <c r="F12" s="85">
        <v>40</v>
      </c>
      <c r="G12" s="85"/>
    </row>
    <row r="13" spans="2:7">
      <c r="F13" s="88">
        <v>0</v>
      </c>
    </row>
    <row r="14" spans="2:7">
      <c r="F14" s="88">
        <v>1</v>
      </c>
    </row>
    <row r="15" spans="2:7">
      <c r="F15" s="70" t="s">
        <v>95</v>
      </c>
    </row>
    <row r="16" spans="2:7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workbookViewId="0">
      <selection activeCell="D19" sqref="D19"/>
    </sheetView>
  </sheetViews>
  <sheetFormatPr defaultRowHeight="13"/>
  <sheetData>
    <row r="2" spans="4:4">
      <c r="D2" s="69" t="s">
        <v>84</v>
      </c>
    </row>
    <row r="3" spans="4:4">
      <c r="D3" s="69" t="s">
        <v>85</v>
      </c>
    </row>
    <row r="4" spans="4:4">
      <c r="D4" s="69" t="s">
        <v>86</v>
      </c>
    </row>
    <row r="5" spans="4:4">
      <c r="D5" s="69" t="s">
        <v>87</v>
      </c>
    </row>
    <row r="6" spans="4:4">
      <c r="D6" s="69" t="s">
        <v>88</v>
      </c>
    </row>
    <row r="7" spans="4:4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dynamixel</vt:lpstr>
      <vt:lpstr>Atk_R_low</vt:lpstr>
      <vt:lpstr>Atk_R_high</vt:lpstr>
      <vt:lpstr>Atk_B</vt:lpstr>
      <vt:lpstr>Atk_F</vt:lpstr>
      <vt:lpstr>Atk_L_low</vt:lpstr>
      <vt:lpstr>Atk_L_high</vt:lpstr>
      <vt:lpstr>WakeB</vt:lpstr>
      <vt:lpstr>WakeF</vt:lpstr>
      <vt:lpstr>Back</vt:lpstr>
      <vt:lpstr>Walk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2024-05-24T06:38:01Z</dcterms:modified>
</cp:coreProperties>
</file>