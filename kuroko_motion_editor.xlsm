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umai\Documents\workspace\kuroko_excell\"/>
    </mc:Choice>
  </mc:AlternateContent>
  <xr:revisionPtr revIDLastSave="0" documentId="13_ncr:1_{DC35BEA9-059D-496F-97ED-C1FFC94F893B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ynamixel" sheetId="35" r:id="rId1"/>
    <sheet name="dynamixel_atk" sheetId="39" r:id="rId2"/>
    <sheet name="dynamixel_wake_b" sheetId="38" r:id="rId3"/>
    <sheet name="dynamixel_wake_f" sheetId="36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37" l="1"/>
  <c r="G15" i="37"/>
  <c r="G14" i="37"/>
  <c r="G13" i="37"/>
  <c r="G16" i="36"/>
  <c r="G15" i="36"/>
  <c r="G14" i="36"/>
  <c r="G13" i="36"/>
  <c r="G16" i="38"/>
  <c r="G15" i="38"/>
  <c r="G14" i="38"/>
  <c r="G13" i="38"/>
  <c r="G16" i="39"/>
  <c r="G15" i="39"/>
  <c r="G14" i="39"/>
  <c r="G13" i="39"/>
  <c r="G16" i="35"/>
  <c r="G15" i="35"/>
  <c r="G14" i="35"/>
  <c r="G13" i="35"/>
  <c r="O8" i="37"/>
  <c r="P8" i="37"/>
  <c r="Q8" i="37"/>
  <c r="O17" i="37"/>
  <c r="P17" i="37"/>
  <c r="Q17" i="37"/>
  <c r="O18" i="37"/>
  <c r="P18" i="37"/>
  <c r="Q18" i="37"/>
  <c r="O19" i="37"/>
  <c r="P19" i="37"/>
  <c r="Q19" i="37"/>
  <c r="O21" i="37"/>
  <c r="P21" i="37"/>
  <c r="Q21" i="37"/>
  <c r="O20" i="37"/>
  <c r="P20" i="37"/>
  <c r="Q20" i="37"/>
  <c r="O22" i="37"/>
  <c r="P22" i="37"/>
  <c r="Q22" i="37"/>
  <c r="O23" i="37"/>
  <c r="P23" i="37"/>
  <c r="Q23" i="37"/>
  <c r="O24" i="37"/>
  <c r="P24" i="37"/>
  <c r="Q24" i="37"/>
  <c r="O25" i="37"/>
  <c r="P25" i="37"/>
  <c r="Q25" i="37"/>
  <c r="O26" i="37"/>
  <c r="P26" i="37"/>
  <c r="Q26" i="37"/>
  <c r="O27" i="37"/>
  <c r="P27" i="37"/>
  <c r="Q27" i="37"/>
  <c r="O28" i="37"/>
  <c r="P28" i="37"/>
  <c r="Q28" i="37"/>
  <c r="E28" i="37"/>
  <c r="E16" i="35"/>
  <c r="E15" i="35"/>
  <c r="E14" i="35"/>
  <c r="E13" i="35"/>
  <c r="E23" i="35"/>
  <c r="E24" i="35"/>
  <c r="E25" i="35"/>
  <c r="E26" i="35"/>
  <c r="E27" i="35"/>
  <c r="E28" i="35"/>
  <c r="E16" i="39"/>
  <c r="E15" i="39"/>
  <c r="E14" i="39"/>
  <c r="E13" i="39"/>
  <c r="E23" i="39"/>
  <c r="E24" i="39"/>
  <c r="E25" i="39"/>
  <c r="E26" i="39"/>
  <c r="E27" i="39"/>
  <c r="E28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P5" i="37" l="1"/>
  <c r="Q5" i="37"/>
  <c r="P6" i="37"/>
  <c r="Q6" i="37"/>
  <c r="O6" i="37"/>
  <c r="J14" i="36"/>
  <c r="K14" i="36"/>
  <c r="L14" i="36"/>
  <c r="M14" i="36"/>
  <c r="N14" i="36"/>
  <c r="J15" i="36"/>
  <c r="K15" i="36"/>
  <c r="L15" i="36"/>
  <c r="M15" i="36"/>
  <c r="N15" i="36"/>
  <c r="J16" i="36"/>
  <c r="K16" i="36"/>
  <c r="L16" i="36"/>
  <c r="M16" i="36"/>
  <c r="N16" i="36"/>
  <c r="K13" i="36"/>
  <c r="L13" i="36"/>
  <c r="M13" i="36"/>
  <c r="N13" i="36"/>
  <c r="J13" i="36"/>
  <c r="P17" i="38" l="1"/>
  <c r="K17" i="38"/>
  <c r="L17" i="38"/>
  <c r="L23" i="38" s="1"/>
  <c r="M17" i="38"/>
  <c r="M23" i="38" s="1"/>
  <c r="N17" i="38"/>
  <c r="N23" i="38" s="1"/>
  <c r="O17" i="38"/>
  <c r="O23" i="38" s="1"/>
  <c r="P23" i="38"/>
  <c r="K23" i="38"/>
  <c r="K27" i="38"/>
  <c r="L27" i="38"/>
  <c r="M27" i="38"/>
  <c r="N27" i="38"/>
  <c r="O27" i="38"/>
  <c r="P27" i="38"/>
  <c r="J27" i="38"/>
  <c r="J17" i="38"/>
  <c r="J23" i="38" s="1"/>
  <c r="E16" i="38"/>
  <c r="E15" i="38"/>
  <c r="E14" i="38"/>
  <c r="E13" i="38"/>
  <c r="E23" i="38"/>
  <c r="E24" i="38"/>
  <c r="E25" i="38"/>
  <c r="E26" i="38"/>
  <c r="E27" i="38"/>
  <c r="E28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E16" i="37" l="1"/>
  <c r="E15" i="37"/>
  <c r="E14" i="37"/>
  <c r="E13" i="37"/>
  <c r="E23" i="37"/>
  <c r="E24" i="37"/>
  <c r="E25" i="37"/>
  <c r="E26" i="37"/>
  <c r="E27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13" i="36"/>
  <c r="E16" i="36"/>
  <c r="E15" i="36"/>
  <c r="E14" i="36"/>
  <c r="E23" i="36"/>
  <c r="E24" i="36"/>
  <c r="E25" i="36"/>
  <c r="E26" i="36"/>
  <c r="E27" i="36"/>
  <c r="E28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l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27" i="30" s="1"/>
  <c r="E12" i="30"/>
  <c r="I4" i="30"/>
  <c r="J4" i="30" s="1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28" i="29" s="1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27" i="27" s="1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28" i="24" s="1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3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4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4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4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5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5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5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5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5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6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6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6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6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6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7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7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7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7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8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8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8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8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8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9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9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9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9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9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9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A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A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A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A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A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A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B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B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B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B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B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C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C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C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C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C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C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D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D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D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D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D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D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E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E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E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E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E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E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F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F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F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F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F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F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0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2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5" authorId="0" shapeId="0" xr:uid="{00000000-0006-0000-1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<sst xmlns="http://schemas.openxmlformats.org/spreadsheetml/2006/main" count="1394" uniqueCount="124">
  <si>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</si>
  <si>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</si>
  <si>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</si>
  <si>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</si>
  <si>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</si>
  <si>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</si>
  <si>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</si>
  <si>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</si>
  <si>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</si>
  <si>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</si>
  <si>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</si>
  <si>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</si>
  <si>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</si>
  <si>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</si>
  <si>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</si>
  <si>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</si>
  <si>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</si>
  <si>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</si>
  <si>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</si>
  <si>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</si>
  <si>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</si>
  <si>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</si>
  <si>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</si>
  <si>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</si>
  <si>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</si>
  <si>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</si>
  <si>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</si>
  <si>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</si>
  <si>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</si>
  <si>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</si>
  <si>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</si>
  <si>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</si>
  <si>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</si>
  <si>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</si>
  <si>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</si>
  <si>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</si>
  <si>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</si>
  <si>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</si>
  <si>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</si>
  <si>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</si>
  <si>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</si>
  <si>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</si>
  <si>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</si>
  <si>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</si>
  <si>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</si>
  <si>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</si>
  <si>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</si>
  <si>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</si>
  <si>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</si>
  <si>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</si>
  <si>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</si>
  <si>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</si>
  <si>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</si>
  <si>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</si>
  <si>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</si>
  <si>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</si>
  <si>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</si>
  <si>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</si>
  <si>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</si>
  <si>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</si>
  <si>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</si>
  <si>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</si>
  <si>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</si>
  <si>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</si>
  <si>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</si>
  <si>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</si>
  <si>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</si>
  <si>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</si>
  <si>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</si>
  <si>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</si>
  <si>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</si>
  <si>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</si>
  <si>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</si>
  <si>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</si>
  <si>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</si>
  <si>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</si>
  <si>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</si>
  <si>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</si>
  <si>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</si>
  <si>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</si>
  <si>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</si>
  <si>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</si>
  <si>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</si>
  <si>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</si>
  <si>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</si>
  <si>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</si>
  <si>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</si>
  <si>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</si>
  <si>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</si>
  <si>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</si>
  <si>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</si>
  <si>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</si>
  <si>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</si>
  <si>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</si>
  <si>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</si>
  <si>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</si>
  <si>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chest</t>
    <phoneticPr fontId="2"/>
  </si>
  <si>
    <t>shoulder_r_pitch</t>
    <phoneticPr fontId="2"/>
  </si>
  <si>
    <t>shoulder_r_roll</t>
    <phoneticPr fontId="2"/>
  </si>
  <si>
    <t>elbow_r_front</t>
    <phoneticPr fontId="2"/>
  </si>
  <si>
    <t>elbow_r_rear</t>
    <phoneticPr fontId="2"/>
  </si>
  <si>
    <t>shoulder_l_pitch</t>
    <phoneticPr fontId="2"/>
  </si>
  <si>
    <t>shoulder_l_roll</t>
    <phoneticPr fontId="2"/>
  </si>
  <si>
    <t>elbow_l_front</t>
    <phoneticPr fontId="2"/>
  </si>
  <si>
    <t>elbow_l_rear</t>
    <phoneticPr fontId="2"/>
  </si>
  <si>
    <t>hip_r_roll</t>
    <phoneticPr fontId="2"/>
  </si>
  <si>
    <t>hip_r_pitch</t>
    <phoneticPr fontId="1"/>
  </si>
  <si>
    <t>shin_r_active</t>
    <phoneticPr fontId="2"/>
  </si>
  <si>
    <t>ankle_r_roll</t>
    <phoneticPr fontId="1"/>
  </si>
  <si>
    <t>ankle_r_yaw</t>
    <phoneticPr fontId="2"/>
  </si>
  <si>
    <t>ankle_l_yaw</t>
    <phoneticPr fontId="2"/>
  </si>
  <si>
    <t>ankle_l_roll</t>
    <phoneticPr fontId="1"/>
  </si>
  <si>
    <t>shin_l_active</t>
    <phoneticPr fontId="2"/>
  </si>
  <si>
    <t>thigh_r_active</t>
    <phoneticPr fontId="2"/>
  </si>
  <si>
    <t>thigh_l_active</t>
    <phoneticPr fontId="2"/>
  </si>
  <si>
    <t>hip_l_pitch</t>
    <phoneticPr fontId="1"/>
  </si>
  <si>
    <t>hip_l_roll</t>
    <phoneticPr fontId="2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</si>
  <si>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</si>
  <si>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theme="1"/>
        <rFont val="ＭＳ ゴシック"/>
        <family val="3"/>
        <charset val="128"/>
      </rPr>
      <t>左右の組</t>
    </r>
    <rPh sb="0" eb="2">
      <t>サユウ</t>
    </rPh>
    <rPh sb="3" eb="4">
      <t>クミ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</si>
  <si>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</si>
  <si>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rgb="FF0070C0"/>
        <rFont val="ＭＳ ゴシック"/>
        <family val="3"/>
        <charset val="128"/>
      </rPr>
      <t>時間床依存</t>
    </r>
    <rPh sb="0" eb="2">
      <t>ジカン</t>
    </rPh>
    <rPh sb="2" eb="5">
      <t>ユカイゾン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</si>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</sst>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\(0\)"/>
    <numFmt numFmtId="177" formatCode="0.0_ "/>
    <numFmt numFmtId="178" formatCode="0_ 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theme="1"/>
      <name val="Consolas"/>
      <family val="3"/>
    </font>
    <font>
      <sz val="11"/>
      <color indexed="12"/>
      <name val="Consolas"/>
      <family val="3"/>
    </font>
    <font>
      <sz val="11"/>
      <color theme="3"/>
      <name val="Consolas"/>
      <family val="3"/>
    </font>
    <font>
      <sz val="11"/>
      <color rgb="FF0070C0"/>
      <name val="Consolas"/>
      <family val="3"/>
    </font>
    <font>
      <sz val="8"/>
      <color theme="1"/>
      <name val="Consolas"/>
      <family val="3"/>
    </font>
    <font>
      <sz val="11"/>
      <color theme="4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  <font>
      <sz val="11"/>
      <name val="Consolas"/>
      <family val="3"/>
    </font>
    <font>
      <sz val="11"/>
      <color rgb="FF0000FF"/>
      <name val="Consolas"/>
      <family val="3"/>
    </font>
    <font>
      <b/>
      <sz val="1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21" fillId="6" borderId="4" xfId="0" applyFont="1" applyFill="1" applyBorder="1">
      <alignment vertical="center"/>
    </xf>
    <xf numFmtId="176" fontId="21" fillId="17" borderId="4" xfId="0" applyNumberFormat="1" applyFont="1" applyFill="1" applyBorder="1" applyAlignment="1">
      <alignment horizontal="center" vertical="center"/>
    </xf>
    <xf numFmtId="177" fontId="22" fillId="0" borderId="0" xfId="0" applyNumberFormat="1" applyFont="1" applyAlignment="1">
      <alignment horizontal="right" vertical="center"/>
    </xf>
    <xf numFmtId="0" fontId="21" fillId="0" borderId="0" xfId="0" applyFont="1" applyBorder="1">
      <alignment vertical="center"/>
    </xf>
    <xf numFmtId="177" fontId="21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178" fontId="23" fillId="16" borderId="4" xfId="0" applyNumberFormat="1" applyFont="1" applyFill="1" applyBorder="1" applyAlignment="1">
      <alignment horizontal="center" vertical="center"/>
    </xf>
    <xf numFmtId="176" fontId="21" fillId="7" borderId="4" xfId="0" applyNumberFormat="1" applyFont="1" applyFill="1" applyBorder="1" applyAlignment="1">
      <alignment horizontal="center" vertical="center"/>
    </xf>
    <xf numFmtId="177" fontId="21" fillId="0" borderId="0" xfId="0" applyNumberFormat="1" applyFont="1" applyBorder="1" applyAlignment="1">
      <alignment horizontal="right" vertical="center"/>
    </xf>
    <xf numFmtId="177" fontId="21" fillId="3" borderId="0" xfId="0" applyNumberFormat="1" applyFont="1" applyFill="1" applyAlignment="1">
      <alignment horizontal="right" vertical="center"/>
    </xf>
    <xf numFmtId="177" fontId="21" fillId="0" borderId="0" xfId="0" applyNumberFormat="1" applyFont="1">
      <alignment vertical="center"/>
    </xf>
    <xf numFmtId="176" fontId="21" fillId="0" borderId="0" xfId="0" applyNumberFormat="1" applyFont="1" applyBorder="1" applyAlignment="1">
      <alignment horizontal="center" vertical="center"/>
    </xf>
    <xf numFmtId="177" fontId="21" fillId="4" borderId="0" xfId="0" applyNumberFormat="1" applyFont="1" applyFill="1" applyAlignment="1">
      <alignment horizontal="right" vertical="center"/>
    </xf>
    <xf numFmtId="177" fontId="24" fillId="0" borderId="0" xfId="0" applyNumberFormat="1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7" fontId="21" fillId="5" borderId="0" xfId="0" applyNumberFormat="1" applyFont="1" applyFill="1" applyAlignment="1">
      <alignment horizontal="right" vertical="center"/>
    </xf>
    <xf numFmtId="178" fontId="26" fillId="5" borderId="0" xfId="0" applyNumberFormat="1" applyFont="1" applyFill="1" applyAlignment="1">
      <alignment horizontal="center" vertical="center"/>
    </xf>
    <xf numFmtId="177" fontId="21" fillId="6" borderId="0" xfId="0" applyNumberFormat="1" applyFont="1" applyFill="1" applyAlignment="1">
      <alignment horizontal="right" vertical="center"/>
    </xf>
    <xf numFmtId="178" fontId="21" fillId="0" borderId="0" xfId="0" applyNumberFormat="1" applyFont="1" applyAlignment="1">
      <alignment horizontal="center" vertical="center"/>
    </xf>
    <xf numFmtId="177" fontId="21" fillId="8" borderId="0" xfId="0" applyNumberFormat="1" applyFont="1" applyFill="1" applyAlignment="1">
      <alignment horizontal="right" vertical="center"/>
    </xf>
    <xf numFmtId="177" fontId="21" fillId="0" borderId="4" xfId="0" applyNumberFormat="1" applyFont="1" applyBorder="1" applyAlignment="1">
      <alignment horizontal="right" vertical="center"/>
    </xf>
    <xf numFmtId="176" fontId="21" fillId="0" borderId="4" xfId="0" applyNumberFormat="1" applyFont="1" applyBorder="1" applyAlignment="1">
      <alignment horizontal="center" vertical="center"/>
    </xf>
    <xf numFmtId="0" fontId="21" fillId="9" borderId="4" xfId="0" applyFont="1" applyFill="1" applyBorder="1">
      <alignment vertical="center"/>
    </xf>
    <xf numFmtId="0" fontId="27" fillId="12" borderId="4" xfId="0" applyFont="1" applyFill="1" applyBorder="1" applyAlignment="1">
      <alignment horizontal="center" vertical="center"/>
    </xf>
    <xf numFmtId="177" fontId="27" fillId="14" borderId="4" xfId="0" applyNumberFormat="1" applyFont="1" applyFill="1" applyBorder="1" applyAlignment="1">
      <alignment horizontal="center" vertical="center"/>
    </xf>
    <xf numFmtId="177" fontId="21" fillId="7" borderId="4" xfId="0" applyNumberFormat="1" applyFont="1" applyFill="1" applyBorder="1" applyAlignment="1">
      <alignment horizontal="right" vertical="center"/>
    </xf>
    <xf numFmtId="178" fontId="27" fillId="0" borderId="4" xfId="0" applyNumberFormat="1" applyFont="1" applyBorder="1" applyAlignment="1">
      <alignment horizontal="center" vertical="center"/>
    </xf>
    <xf numFmtId="177" fontId="28" fillId="10" borderId="4" xfId="0" applyNumberFormat="1" applyFont="1" applyFill="1" applyBorder="1" applyAlignment="1">
      <alignment horizontal="left" vertical="center"/>
    </xf>
    <xf numFmtId="176" fontId="29" fillId="10" borderId="4" xfId="0" applyNumberFormat="1" applyFont="1" applyFill="1" applyBorder="1" applyAlignment="1">
      <alignment horizontal="center" vertical="center"/>
    </xf>
    <xf numFmtId="177" fontId="30" fillId="10" borderId="4" xfId="0" applyNumberFormat="1" applyFont="1" applyFill="1" applyBorder="1" applyAlignment="1">
      <alignment horizontal="right" vertical="center"/>
    </xf>
    <xf numFmtId="178" fontId="31" fillId="10" borderId="4" xfId="0" applyNumberFormat="1" applyFont="1" applyFill="1" applyBorder="1" applyAlignment="1">
      <alignment horizontal="center" vertical="center"/>
    </xf>
    <xf numFmtId="178" fontId="29" fillId="10" borderId="4" xfId="0" applyNumberFormat="1" applyFont="1" applyFill="1" applyBorder="1" applyAlignment="1">
      <alignment horizontal="center" vertical="center"/>
    </xf>
    <xf numFmtId="177" fontId="29" fillId="10" borderId="4" xfId="0" applyNumberFormat="1" applyFont="1" applyFill="1" applyBorder="1" applyAlignment="1">
      <alignment horizontal="right" vertical="center"/>
    </xf>
    <xf numFmtId="176" fontId="29" fillId="10" borderId="4" xfId="0" quotePrefix="1" applyNumberFormat="1" applyFont="1" applyFill="1" applyBorder="1" applyAlignment="1">
      <alignment horizontal="center" vertical="center"/>
    </xf>
    <xf numFmtId="177" fontId="28" fillId="11" borderId="4" xfId="0" applyNumberFormat="1" applyFont="1" applyFill="1" applyBorder="1" applyAlignment="1">
      <alignment horizontal="left" vertical="center"/>
    </xf>
    <xf numFmtId="176" fontId="29" fillId="11" borderId="4" xfId="0" applyNumberFormat="1" applyFont="1" applyFill="1" applyBorder="1" applyAlignment="1">
      <alignment horizontal="center" vertical="center"/>
    </xf>
    <xf numFmtId="177" fontId="30" fillId="11" borderId="4" xfId="0" applyNumberFormat="1" applyFont="1" applyFill="1" applyBorder="1" applyAlignment="1">
      <alignment horizontal="right" vertical="center"/>
    </xf>
    <xf numFmtId="178" fontId="31" fillId="11" borderId="4" xfId="0" applyNumberFormat="1" applyFont="1" applyFill="1" applyBorder="1" applyAlignment="1">
      <alignment horizontal="center" vertical="center"/>
    </xf>
    <xf numFmtId="178" fontId="26" fillId="11" borderId="4" xfId="0" applyNumberFormat="1" applyFont="1" applyFill="1" applyBorder="1" applyAlignment="1">
      <alignment horizontal="center" vertical="center"/>
    </xf>
    <xf numFmtId="177" fontId="29" fillId="11" borderId="4" xfId="0" applyNumberFormat="1" applyFont="1" applyFill="1" applyBorder="1" applyAlignment="1">
      <alignment horizontal="right" vertical="center"/>
    </xf>
    <xf numFmtId="0" fontId="21" fillId="11" borderId="0" xfId="0" applyFont="1" applyFill="1">
      <alignment vertical="center"/>
    </xf>
    <xf numFmtId="176" fontId="29" fillId="11" borderId="4" xfId="0" quotePrefix="1" applyNumberFormat="1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177" fontId="21" fillId="0" borderId="4" xfId="0" applyNumberFormat="1" applyFont="1" applyBorder="1" applyAlignment="1">
      <alignment horizontal="left" vertical="center"/>
    </xf>
    <xf numFmtId="177" fontId="28" fillId="7" borderId="4" xfId="0" applyNumberFormat="1" applyFont="1" applyFill="1" applyBorder="1" applyAlignment="1">
      <alignment horizontal="left" vertical="center"/>
    </xf>
    <xf numFmtId="176" fontId="29" fillId="7" borderId="4" xfId="0" applyNumberFormat="1" applyFont="1" applyFill="1" applyBorder="1" applyAlignment="1">
      <alignment horizontal="center" vertical="center"/>
    </xf>
    <xf numFmtId="177" fontId="30" fillId="7" borderId="4" xfId="0" applyNumberFormat="1" applyFont="1" applyFill="1" applyBorder="1" applyAlignment="1">
      <alignment horizontal="right" vertical="center"/>
    </xf>
    <xf numFmtId="178" fontId="31" fillId="7" borderId="4" xfId="0" applyNumberFormat="1" applyFont="1" applyFill="1" applyBorder="1" applyAlignment="1">
      <alignment horizontal="center" vertical="center"/>
    </xf>
    <xf numFmtId="178" fontId="29" fillId="7" borderId="4" xfId="0" applyNumberFormat="1" applyFont="1" applyFill="1" applyBorder="1" applyAlignment="1">
      <alignment horizontal="center" vertical="center"/>
    </xf>
    <xf numFmtId="177" fontId="29" fillId="7" borderId="4" xfId="0" applyNumberFormat="1" applyFont="1" applyFill="1" applyBorder="1" applyAlignment="1">
      <alignment horizontal="right" vertical="center"/>
    </xf>
    <xf numFmtId="0" fontId="21" fillId="7" borderId="0" xfId="0" applyFont="1" applyFill="1">
      <alignment vertical="center"/>
    </xf>
    <xf numFmtId="0" fontId="0" fillId="7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Yaml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6"/>
  <dimension ref="A1:AB51"/>
  <sheetViews>
    <sheetView tabSelected="1" zoomScale="145" zoomScaleNormal="145" workbookViewId="0">
      <selection activeCell="B3" sqref="B3"/>
    </sheetView>
  </sheetViews>
  <sheetFormatPr defaultRowHeight="13.2" x14ac:dyDescent="0.2"/>
  <cols>
    <col min="1" max="1" width="16.6640625" customWidth="1"/>
    <col min="2" max="28" width="8.6640625" customWidth="1"/>
    <col min="29" max="31" width="6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>
        <v>0</v>
      </c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10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123</v>
      </c>
      <c r="H4" s="111">
        <v>0</v>
      </c>
      <c r="I4" s="111">
        <f>H4+H5+H6</f>
        <v>5</v>
      </c>
      <c r="J4" s="111">
        <f t="shared" ref="J4:AB4" si="0">I4+I5+I6</f>
        <v>20</v>
      </c>
      <c r="K4" s="111">
        <f t="shared" si="0"/>
        <v>40</v>
      </c>
      <c r="L4" s="111">
        <f t="shared" si="0"/>
        <v>50</v>
      </c>
      <c r="M4" s="111">
        <f t="shared" si="0"/>
        <v>80</v>
      </c>
      <c r="N4" s="111">
        <f t="shared" si="0"/>
        <v>110</v>
      </c>
      <c r="O4" s="111">
        <f t="shared" si="0"/>
        <v>120</v>
      </c>
      <c r="P4" s="111">
        <f t="shared" si="0"/>
        <v>130</v>
      </c>
      <c r="Q4" s="111">
        <f t="shared" si="0"/>
        <v>140</v>
      </c>
      <c r="R4" s="111">
        <f t="shared" si="0"/>
        <v>150</v>
      </c>
      <c r="S4" s="111">
        <f t="shared" si="0"/>
        <v>160</v>
      </c>
      <c r="T4" s="111">
        <f t="shared" si="0"/>
        <v>170</v>
      </c>
      <c r="U4" s="111">
        <f t="shared" si="0"/>
        <v>180</v>
      </c>
      <c r="V4" s="111">
        <f t="shared" si="0"/>
        <v>182</v>
      </c>
      <c r="W4" s="111">
        <f t="shared" si="0"/>
        <v>184</v>
      </c>
      <c r="X4" s="111">
        <f t="shared" si="0"/>
        <v>209</v>
      </c>
      <c r="Y4" s="111">
        <f t="shared" si="0"/>
        <v>309</v>
      </c>
      <c r="Z4" s="111">
        <f t="shared" si="0"/>
        <v>409</v>
      </c>
      <c r="AA4" s="111">
        <f t="shared" si="0"/>
        <v>509</v>
      </c>
      <c r="AB4" s="111">
        <f t="shared" si="0"/>
        <v>609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5</v>
      </c>
      <c r="I5" s="113">
        <v>15</v>
      </c>
      <c r="J5" s="113">
        <v>0</v>
      </c>
      <c r="K5" s="113">
        <v>10</v>
      </c>
      <c r="L5" s="113">
        <v>30</v>
      </c>
      <c r="M5" s="113">
        <v>30</v>
      </c>
      <c r="N5" s="113">
        <v>10</v>
      </c>
      <c r="O5" s="113">
        <v>10</v>
      </c>
      <c r="P5" s="113">
        <v>10</v>
      </c>
      <c r="Q5" s="113">
        <v>10</v>
      </c>
      <c r="R5" s="113">
        <v>10</v>
      </c>
      <c r="S5" s="113">
        <v>10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20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1</v>
      </c>
      <c r="I7" s="121">
        <v>0</v>
      </c>
      <c r="J7" s="121">
        <v>0</v>
      </c>
      <c r="K7" s="121">
        <v>2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-35</v>
      </c>
      <c r="J19" s="127">
        <v>30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-30</v>
      </c>
      <c r="J20" s="127">
        <v>30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-35</v>
      </c>
      <c r="J25" s="134">
        <v>30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-30</v>
      </c>
      <c r="J26" s="134">
        <v>30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17:AB28" name="入力範囲_4_1_1_1_1_1"/>
    <protectedRange sqref="H8:AB8" name="入力範囲_4_1_1_1_1_1_1"/>
    <protectedRange sqref="E17:E22" name="入力範囲_4_1_1_1_3_1_1_3"/>
    <protectedRange sqref="E8" name="入力範囲_4_1_1_1_3_1_1_1_1"/>
    <protectedRange sqref="E13:E16 E23:E28" name="入力範囲_4_1_1_1_3_1_1_2_1"/>
    <protectedRange sqref="F17:G28" name="入力範囲_4_1_1_1_1_1_4_1"/>
    <protectedRange sqref="F8:G8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0"/>
  <dimension ref="A1:AB51"/>
  <sheetViews>
    <sheetView zoomScale="145" zoomScaleNormal="145" workbookViewId="0">
      <selection activeCell="F8" sqref="F8:G28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122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32</v>
      </c>
      <c r="L4" s="111">
        <f t="shared" si="0"/>
        <v>72</v>
      </c>
      <c r="M4" s="111">
        <f t="shared" si="0"/>
        <v>102</v>
      </c>
      <c r="N4" s="111">
        <f t="shared" si="0"/>
        <v>112</v>
      </c>
      <c r="O4" s="111">
        <f t="shared" si="0"/>
        <v>142</v>
      </c>
      <c r="P4" s="111">
        <f t="shared" si="0"/>
        <v>172</v>
      </c>
      <c r="Q4" s="111">
        <f t="shared" si="0"/>
        <v>182</v>
      </c>
      <c r="R4" s="111">
        <f t="shared" si="0"/>
        <v>212</v>
      </c>
      <c r="S4" s="111">
        <f t="shared" si="0"/>
        <v>227</v>
      </c>
      <c r="T4" s="111">
        <f t="shared" si="0"/>
        <v>237</v>
      </c>
      <c r="U4" s="111">
        <f t="shared" si="0"/>
        <v>239</v>
      </c>
      <c r="V4" s="111">
        <f t="shared" si="0"/>
        <v>241</v>
      </c>
      <c r="W4" s="111">
        <f t="shared" si="0"/>
        <v>243</v>
      </c>
      <c r="X4" s="111">
        <f t="shared" si="0"/>
        <v>268</v>
      </c>
      <c r="Y4" s="111">
        <f t="shared" si="0"/>
        <v>368</v>
      </c>
      <c r="Z4" s="111">
        <f t="shared" si="0"/>
        <v>468</v>
      </c>
      <c r="AA4" s="111">
        <f t="shared" si="0"/>
        <v>568</v>
      </c>
      <c r="AB4" s="111">
        <f t="shared" si="0"/>
        <v>668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</v>
      </c>
      <c r="J5" s="113">
        <v>20</v>
      </c>
      <c r="K5" s="113">
        <v>10</v>
      </c>
      <c r="L5" s="113">
        <v>10</v>
      </c>
      <c r="M5" s="113">
        <v>10</v>
      </c>
      <c r="N5" s="113">
        <v>30</v>
      </c>
      <c r="O5" s="113">
        <f>L5</f>
        <v>10</v>
      </c>
      <c r="P5" s="113">
        <f t="shared" ref="P5:Q6" si="1">M5</f>
        <v>10</v>
      </c>
      <c r="Q5" s="113">
        <f t="shared" si="1"/>
        <v>30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30</v>
      </c>
      <c r="L6" s="113">
        <v>20</v>
      </c>
      <c r="M6" s="113">
        <v>0</v>
      </c>
      <c r="N6" s="113">
        <v>0</v>
      </c>
      <c r="O6" s="113">
        <f>L6</f>
        <v>20</v>
      </c>
      <c r="P6" s="113">
        <f t="shared" si="1"/>
        <v>0</v>
      </c>
      <c r="Q6" s="113">
        <f t="shared" si="1"/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38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-25</v>
      </c>
      <c r="K8" s="144">
        <v>-90</v>
      </c>
      <c r="L8" s="144">
        <v>-90</v>
      </c>
      <c r="M8" s="144">
        <v>-45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-50</v>
      </c>
      <c r="K9" s="127">
        <v>-50</v>
      </c>
      <c r="L9" s="127">
        <v>-50</v>
      </c>
      <c r="M9" s="127">
        <v>-50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90</v>
      </c>
      <c r="L10" s="127">
        <v>90</v>
      </c>
      <c r="M10" s="127">
        <v>90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15</v>
      </c>
      <c r="K11" s="127">
        <v>-125</v>
      </c>
      <c r="L11" s="127">
        <v>15</v>
      </c>
      <c r="M11" s="127">
        <v>15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15</v>
      </c>
      <c r="K12" s="127">
        <v>-125</v>
      </c>
      <c r="L12" s="127">
        <v>-265</v>
      </c>
      <c r="M12" s="127">
        <v>15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2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-50</v>
      </c>
      <c r="K13" s="134">
        <v>-50</v>
      </c>
      <c r="L13" s="134">
        <v>-50</v>
      </c>
      <c r="M13" s="134">
        <v>-50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2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90</v>
      </c>
      <c r="K14" s="134">
        <v>90</v>
      </c>
      <c r="L14" s="134">
        <v>90</v>
      </c>
      <c r="M14" s="134">
        <v>90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2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15</v>
      </c>
      <c r="K15" s="134">
        <v>15</v>
      </c>
      <c r="L15" s="134">
        <v>15</v>
      </c>
      <c r="M15" s="134">
        <v>15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2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15</v>
      </c>
      <c r="K16" s="134">
        <v>15</v>
      </c>
      <c r="L16" s="134">
        <v>15</v>
      </c>
      <c r="M16" s="134">
        <v>15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90"/>
      <c r="B29" s="90"/>
      <c r="C29" s="90"/>
      <c r="D29" s="91"/>
      <c r="E29" s="90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68"/>
      <c r="V29" s="68"/>
      <c r="W29" s="68"/>
      <c r="X29" s="68"/>
      <c r="Y29" s="68"/>
      <c r="Z29" s="68"/>
    </row>
    <row r="30" spans="1:28" x14ac:dyDescent="0.2">
      <c r="A30" s="90"/>
      <c r="B30" s="90"/>
      <c r="C30" s="90"/>
      <c r="D30" s="91"/>
      <c r="E30" s="90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68"/>
      <c r="V30" s="68"/>
      <c r="W30" s="68"/>
      <c r="X30" s="68"/>
      <c r="Y30" s="68"/>
      <c r="Z30" s="68"/>
    </row>
    <row r="31" spans="1:28" x14ac:dyDescent="0.2">
      <c r="A31" s="90"/>
      <c r="B31" s="90"/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68"/>
      <c r="V31" s="68"/>
      <c r="W31" s="68"/>
      <c r="X31" s="68"/>
      <c r="Y31" s="68"/>
      <c r="Z31" s="68"/>
    </row>
    <row r="32" spans="1:28" x14ac:dyDescent="0.2">
      <c r="A32" s="90"/>
      <c r="B32" s="90"/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68"/>
      <c r="V32" s="68"/>
      <c r="W32" s="68"/>
      <c r="X32" s="68"/>
      <c r="Y32" s="68"/>
      <c r="Z32" s="68"/>
    </row>
    <row r="33" spans="1:26" x14ac:dyDescent="0.2">
      <c r="A33" s="90"/>
      <c r="B33" s="90"/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68"/>
      <c r="V33" s="68"/>
      <c r="W33" s="68"/>
      <c r="X33" s="68"/>
      <c r="Y33" s="68"/>
      <c r="Z33" s="68"/>
    </row>
    <row r="34" spans="1:26" x14ac:dyDescent="0.2">
      <c r="A34" s="90"/>
      <c r="B34" s="90"/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68"/>
      <c r="V34" s="68"/>
      <c r="W34" s="68"/>
      <c r="X34" s="68"/>
      <c r="Y34" s="68"/>
      <c r="Z34" s="68"/>
    </row>
    <row r="35" spans="1:26" x14ac:dyDescent="0.2">
      <c r="A35" s="90"/>
      <c r="B35" s="90"/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68"/>
      <c r="V35" s="68"/>
      <c r="W35" s="68"/>
      <c r="X35" s="68"/>
      <c r="Y35" s="68"/>
      <c r="Z35" s="68"/>
    </row>
    <row r="36" spans="1:26" x14ac:dyDescent="0.2">
      <c r="A36" s="90"/>
      <c r="B36" s="90"/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68"/>
      <c r="V36" s="68"/>
      <c r="W36" s="68"/>
      <c r="X36" s="68"/>
      <c r="Y36" s="68"/>
      <c r="Z36" s="68"/>
    </row>
    <row r="37" spans="1:26" x14ac:dyDescent="0.2">
      <c r="A37" s="90"/>
      <c r="B37" s="90"/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</row>
    <row r="38" spans="1:26" x14ac:dyDescent="0.2">
      <c r="A38" s="90"/>
      <c r="B38" s="90"/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</row>
    <row r="39" spans="1:26" x14ac:dyDescent="0.2">
      <c r="A39" s="90"/>
      <c r="B39" s="90"/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</row>
    <row r="40" spans="1:26" x14ac:dyDescent="0.2">
      <c r="A40" s="90"/>
      <c r="B40" s="90"/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1:26" x14ac:dyDescent="0.2">
      <c r="A41" s="90"/>
      <c r="B41" s="90"/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V17:AB17 H28:AB28 V19:AB21 H18:AB18 V23:AB23 V25:AB27" name="入力範囲_4_1_1_1_1_1"/>
    <protectedRange sqref="E17:E22" name="入力範囲_4_1_1_1_3_1_1"/>
    <protectedRange sqref="X8:AB8" name="入力範囲_4_1_1_1_1_1_1"/>
    <protectedRange sqref="E8" name="入力範囲_4_1_1_1_3_1_1_1"/>
    <protectedRange sqref="E13:E16 E23:E28" name="入力範囲_4_1_1_1_3_1_1_2"/>
    <protectedRange sqref="H8:W8" name="入力範囲_4_1_1_1_1_1_2"/>
    <protectedRange sqref="H19:U21" name="入力範囲_4_1_1_1_1_1_3"/>
    <protectedRange sqref="H25:U27" name="入力範囲_4_1_1_1_1_1_9"/>
    <protectedRange sqref="H17:U17" name="入力範囲_4_1_1_1_1_1_10"/>
    <protectedRange sqref="H23:U23" name="入力範囲_4_1_1_1_1_1_12"/>
    <protectedRange sqref="F17:G28" name="入力範囲_4_1_1_1_1_1_4_1_2"/>
    <protectedRange sqref="F8:G8" name="入力範囲_4_1_1_1_1_1_1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9"/>
  <dimension ref="A1:AB51"/>
  <sheetViews>
    <sheetView zoomScale="145" zoomScaleNormal="145" workbookViewId="0">
      <selection activeCell="F8" sqref="F8:G28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 t="s">
        <v>120</v>
      </c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121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112</v>
      </c>
      <c r="L4" s="111">
        <f t="shared" si="0"/>
        <v>152</v>
      </c>
      <c r="M4" s="111">
        <f t="shared" si="0"/>
        <v>192</v>
      </c>
      <c r="N4" s="111">
        <f t="shared" si="0"/>
        <v>212</v>
      </c>
      <c r="O4" s="111">
        <f t="shared" si="0"/>
        <v>232</v>
      </c>
      <c r="P4" s="111">
        <f t="shared" si="0"/>
        <v>302</v>
      </c>
      <c r="Q4" s="111">
        <f t="shared" si="0"/>
        <v>322</v>
      </c>
      <c r="R4" s="111">
        <f t="shared" si="0"/>
        <v>362</v>
      </c>
      <c r="S4" s="111">
        <f t="shared" si="0"/>
        <v>402</v>
      </c>
      <c r="T4" s="111">
        <f t="shared" si="0"/>
        <v>502</v>
      </c>
      <c r="U4" s="111">
        <f t="shared" si="0"/>
        <v>512</v>
      </c>
      <c r="V4" s="111">
        <f t="shared" si="0"/>
        <v>514</v>
      </c>
      <c r="W4" s="111">
        <f t="shared" si="0"/>
        <v>516</v>
      </c>
      <c r="X4" s="111">
        <f t="shared" si="0"/>
        <v>541</v>
      </c>
      <c r="Y4" s="111">
        <f t="shared" si="0"/>
        <v>641</v>
      </c>
      <c r="Z4" s="111">
        <f t="shared" si="0"/>
        <v>741</v>
      </c>
      <c r="AA4" s="111">
        <f t="shared" si="0"/>
        <v>841</v>
      </c>
      <c r="AB4" s="111">
        <f t="shared" si="0"/>
        <v>941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100</v>
      </c>
      <c r="J5" s="113">
        <v>10</v>
      </c>
      <c r="K5" s="113">
        <v>40</v>
      </c>
      <c r="L5" s="113">
        <v>40</v>
      </c>
      <c r="M5" s="113">
        <v>20</v>
      </c>
      <c r="N5" s="113">
        <v>20</v>
      </c>
      <c r="O5" s="113">
        <v>70</v>
      </c>
      <c r="P5" s="113">
        <v>20</v>
      </c>
      <c r="Q5" s="113">
        <v>40</v>
      </c>
      <c r="R5" s="113">
        <v>40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2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30</v>
      </c>
      <c r="K9" s="127">
        <v>-120</v>
      </c>
      <c r="L9" s="127">
        <v>-130</v>
      </c>
      <c r="M9" s="127">
        <v>-100</v>
      </c>
      <c r="N9" s="127">
        <v>-70</v>
      </c>
      <c r="O9" s="127">
        <v>-45</v>
      </c>
      <c r="P9" s="127">
        <v>-80</v>
      </c>
      <c r="Q9" s="127">
        <v>-50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100</v>
      </c>
      <c r="L10" s="127">
        <v>80</v>
      </c>
      <c r="M10" s="127">
        <v>0</v>
      </c>
      <c r="N10" s="127">
        <v>10</v>
      </c>
      <c r="O10" s="127">
        <v>10</v>
      </c>
      <c r="P10" s="127">
        <v>60</v>
      </c>
      <c r="Q10" s="127">
        <v>45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-150</v>
      </c>
      <c r="L11" s="127">
        <v>-247</v>
      </c>
      <c r="M11" s="127">
        <v>-247</v>
      </c>
      <c r="N11" s="127">
        <v>-247</v>
      </c>
      <c r="O11" s="127">
        <v>-130</v>
      </c>
      <c r="P11" s="127">
        <v>-160</v>
      </c>
      <c r="Q11" s="127">
        <v>-45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-150</v>
      </c>
      <c r="L12" s="127">
        <v>-255</v>
      </c>
      <c r="M12" s="127">
        <v>-255</v>
      </c>
      <c r="N12" s="127">
        <v>-255</v>
      </c>
      <c r="O12" s="127">
        <v>-140</v>
      </c>
      <c r="P12" s="127">
        <v>-160</v>
      </c>
      <c r="Q12" s="127">
        <v>-45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30</v>
      </c>
      <c r="K13" s="134">
        <v>-120</v>
      </c>
      <c r="L13" s="134">
        <v>-130</v>
      </c>
      <c r="M13" s="134">
        <v>-100</v>
      </c>
      <c r="N13" s="134">
        <v>-70</v>
      </c>
      <c r="O13" s="134">
        <v>-45</v>
      </c>
      <c r="P13" s="134">
        <v>-80</v>
      </c>
      <c r="Q13" s="134">
        <v>-50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90</v>
      </c>
      <c r="K14" s="134">
        <v>100</v>
      </c>
      <c r="L14" s="134">
        <v>80</v>
      </c>
      <c r="M14" s="134">
        <v>0</v>
      </c>
      <c r="N14" s="134">
        <v>10</v>
      </c>
      <c r="O14" s="134">
        <v>10</v>
      </c>
      <c r="P14" s="134">
        <v>60</v>
      </c>
      <c r="Q14" s="134">
        <v>45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-150</v>
      </c>
      <c r="L15" s="134">
        <v>-247</v>
      </c>
      <c r="M15" s="134">
        <v>-247</v>
      </c>
      <c r="N15" s="134">
        <v>-247</v>
      </c>
      <c r="O15" s="134">
        <v>-130</v>
      </c>
      <c r="P15" s="134">
        <v>-160</v>
      </c>
      <c r="Q15" s="134">
        <v>-45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-150</v>
      </c>
      <c r="L16" s="134">
        <v>-255</v>
      </c>
      <c r="M16" s="134">
        <v>-255</v>
      </c>
      <c r="N16" s="134">
        <v>-255</v>
      </c>
      <c r="O16" s="134">
        <v>-140</v>
      </c>
      <c r="P16" s="134">
        <v>-160</v>
      </c>
      <c r="Q16" s="134">
        <v>-45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f t="shared" ref="J17:P17" si="3">-J21</f>
        <v>5</v>
      </c>
      <c r="K17" s="127">
        <f t="shared" si="3"/>
        <v>5</v>
      </c>
      <c r="L17" s="127">
        <f t="shared" si="3"/>
        <v>5</v>
      </c>
      <c r="M17" s="127">
        <f t="shared" si="3"/>
        <v>5</v>
      </c>
      <c r="N17" s="127">
        <f t="shared" si="3"/>
        <v>5</v>
      </c>
      <c r="O17" s="127">
        <f t="shared" si="3"/>
        <v>5</v>
      </c>
      <c r="P17" s="127">
        <f t="shared" si="3"/>
        <v>-5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-35</v>
      </c>
      <c r="M19" s="127">
        <v>-35</v>
      </c>
      <c r="N19" s="127">
        <v>-35</v>
      </c>
      <c r="O19" s="127">
        <v>-35</v>
      </c>
      <c r="P19" s="127">
        <v>-35</v>
      </c>
      <c r="Q19" s="127">
        <v>-20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-35</v>
      </c>
      <c r="K20" s="127">
        <v>-35</v>
      </c>
      <c r="L20" s="127">
        <v>-35</v>
      </c>
      <c r="M20" s="127">
        <v>-35</v>
      </c>
      <c r="N20" s="127">
        <v>-35</v>
      </c>
      <c r="O20" s="127">
        <v>-35</v>
      </c>
      <c r="P20" s="127">
        <v>-35</v>
      </c>
      <c r="Q20" s="127">
        <v>-20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-5</v>
      </c>
      <c r="K21" s="127">
        <v>-5</v>
      </c>
      <c r="L21" s="127">
        <v>-5</v>
      </c>
      <c r="M21" s="127">
        <v>-5</v>
      </c>
      <c r="N21" s="127">
        <v>-5</v>
      </c>
      <c r="O21" s="127">
        <v>-5</v>
      </c>
      <c r="P21" s="127">
        <v>5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f t="shared" ref="J23:P23" si="4">J17</f>
        <v>5</v>
      </c>
      <c r="K23" s="134">
        <f t="shared" si="4"/>
        <v>5</v>
      </c>
      <c r="L23" s="134">
        <f t="shared" si="4"/>
        <v>5</v>
      </c>
      <c r="M23" s="134">
        <f t="shared" si="4"/>
        <v>5</v>
      </c>
      <c r="N23" s="134">
        <f t="shared" si="4"/>
        <v>5</v>
      </c>
      <c r="O23" s="134">
        <f t="shared" si="4"/>
        <v>5</v>
      </c>
      <c r="P23" s="134">
        <f t="shared" si="4"/>
        <v>-5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-35</v>
      </c>
      <c r="M25" s="134">
        <v>-35</v>
      </c>
      <c r="N25" s="134">
        <v>-35</v>
      </c>
      <c r="O25" s="134">
        <v>-35</v>
      </c>
      <c r="P25" s="134">
        <v>-35</v>
      </c>
      <c r="Q25" s="134">
        <v>-20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-35</v>
      </c>
      <c r="K26" s="134">
        <v>-35</v>
      </c>
      <c r="L26" s="134">
        <v>-35</v>
      </c>
      <c r="M26" s="134">
        <v>-35</v>
      </c>
      <c r="N26" s="134">
        <v>-35</v>
      </c>
      <c r="O26" s="134">
        <v>-35</v>
      </c>
      <c r="P26" s="134">
        <v>-35</v>
      </c>
      <c r="Q26" s="134">
        <v>-20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f t="shared" ref="J27:P27" si="5">J21</f>
        <v>-5</v>
      </c>
      <c r="K27" s="134">
        <f t="shared" si="5"/>
        <v>-5</v>
      </c>
      <c r="L27" s="134">
        <f t="shared" si="5"/>
        <v>-5</v>
      </c>
      <c r="M27" s="134">
        <f t="shared" si="5"/>
        <v>-5</v>
      </c>
      <c r="N27" s="134">
        <f t="shared" si="5"/>
        <v>-5</v>
      </c>
      <c r="O27" s="134">
        <f t="shared" si="5"/>
        <v>-5</v>
      </c>
      <c r="P27" s="134">
        <f t="shared" si="5"/>
        <v>5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S19:AB21 S17:AB17 H28:AB28 H18:AB18 S23:AB23 S25:AB27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R21" name="入力範囲_4_1_1_1_1_1_5"/>
    <protectedRange sqref="H17:R17" name="入力範囲_4_1_1_1_1_1_6"/>
    <protectedRange sqref="H25:R27" name="入力範囲_4_1_1_1_1_1_7"/>
    <protectedRange sqref="H23:R23" name="入力範囲_4_1_1_1_1_1_8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7"/>
  <dimension ref="A1:AB36"/>
  <sheetViews>
    <sheetView topLeftCell="B1" zoomScale="145" zoomScaleNormal="145" workbookViewId="0">
      <selection activeCell="G5" sqref="G5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119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122</v>
      </c>
      <c r="L4" s="111">
        <f t="shared" si="0"/>
        <v>222</v>
      </c>
      <c r="M4" s="111">
        <f t="shared" si="0"/>
        <v>232</v>
      </c>
      <c r="N4" s="111">
        <f t="shared" si="0"/>
        <v>252</v>
      </c>
      <c r="O4" s="111">
        <f t="shared" si="0"/>
        <v>282</v>
      </c>
      <c r="P4" s="111">
        <f t="shared" si="0"/>
        <v>382</v>
      </c>
      <c r="Q4" s="111">
        <f t="shared" si="0"/>
        <v>482</v>
      </c>
      <c r="R4" s="111">
        <f t="shared" si="0"/>
        <v>582</v>
      </c>
      <c r="S4" s="111">
        <f t="shared" si="0"/>
        <v>682</v>
      </c>
      <c r="T4" s="111">
        <f t="shared" si="0"/>
        <v>782</v>
      </c>
      <c r="U4" s="111">
        <f t="shared" si="0"/>
        <v>792</v>
      </c>
      <c r="V4" s="111">
        <f t="shared" si="0"/>
        <v>794</v>
      </c>
      <c r="W4" s="111">
        <f t="shared" si="0"/>
        <v>796</v>
      </c>
      <c r="X4" s="111">
        <f t="shared" si="0"/>
        <v>821</v>
      </c>
      <c r="Y4" s="111">
        <f t="shared" si="0"/>
        <v>921</v>
      </c>
      <c r="Z4" s="111">
        <f t="shared" si="0"/>
        <v>1021</v>
      </c>
      <c r="AA4" s="111">
        <f t="shared" si="0"/>
        <v>1121</v>
      </c>
      <c r="AB4" s="111">
        <f t="shared" si="0"/>
        <v>1221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100</v>
      </c>
      <c r="J5" s="113">
        <v>20</v>
      </c>
      <c r="K5" s="113">
        <v>100</v>
      </c>
      <c r="L5" s="113">
        <v>10</v>
      </c>
      <c r="M5" s="113">
        <v>20</v>
      </c>
      <c r="N5" s="113">
        <v>30</v>
      </c>
      <c r="O5" s="113">
        <v>100</v>
      </c>
      <c r="P5" s="113">
        <v>100</v>
      </c>
      <c r="Q5" s="113">
        <v>100</v>
      </c>
      <c r="R5" s="113">
        <v>100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5" customFormat="1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10</v>
      </c>
      <c r="K9" s="127">
        <v>0</v>
      </c>
      <c r="L9" s="127">
        <v>-15</v>
      </c>
      <c r="M9" s="127">
        <v>-20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10</v>
      </c>
      <c r="M10" s="127">
        <v>20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-110</v>
      </c>
      <c r="L11" s="127">
        <v>-110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-120</v>
      </c>
      <c r="L12" s="127">
        <v>-120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f>J9</f>
        <v>10</v>
      </c>
      <c r="K13" s="134">
        <f t="shared" ref="K13:N13" si="2">K9</f>
        <v>0</v>
      </c>
      <c r="L13" s="134">
        <f t="shared" si="2"/>
        <v>-15</v>
      </c>
      <c r="M13" s="134">
        <f t="shared" si="2"/>
        <v>-20</v>
      </c>
      <c r="N13" s="134">
        <f t="shared" si="2"/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f t="shared" ref="J14:N14" si="4">J10</f>
        <v>0</v>
      </c>
      <c r="K14" s="134">
        <f t="shared" si="4"/>
        <v>0</v>
      </c>
      <c r="L14" s="134">
        <f t="shared" si="4"/>
        <v>10</v>
      </c>
      <c r="M14" s="134">
        <f t="shared" si="4"/>
        <v>20</v>
      </c>
      <c r="N14" s="134">
        <f t="shared" si="4"/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f t="shared" ref="J15:N15" si="5">J11</f>
        <v>0</v>
      </c>
      <c r="K15" s="134">
        <f t="shared" si="5"/>
        <v>-110</v>
      </c>
      <c r="L15" s="134">
        <f t="shared" si="5"/>
        <v>-110</v>
      </c>
      <c r="M15" s="134">
        <f t="shared" si="5"/>
        <v>0</v>
      </c>
      <c r="N15" s="134">
        <f t="shared" si="5"/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f t="shared" ref="J16:N16" si="6">J12</f>
        <v>0</v>
      </c>
      <c r="K16" s="134">
        <f t="shared" si="6"/>
        <v>-120</v>
      </c>
      <c r="L16" s="134">
        <f t="shared" si="6"/>
        <v>-120</v>
      </c>
      <c r="M16" s="134">
        <f t="shared" si="6"/>
        <v>0</v>
      </c>
      <c r="N16" s="134">
        <f t="shared" si="6"/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10</v>
      </c>
      <c r="K17" s="127">
        <v>5</v>
      </c>
      <c r="L17" s="127">
        <v>5</v>
      </c>
      <c r="M17" s="127">
        <v>-5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30</v>
      </c>
      <c r="L18" s="127">
        <v>30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-30</v>
      </c>
      <c r="M19" s="127">
        <v>-35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-30</v>
      </c>
      <c r="K20" s="127">
        <v>-30</v>
      </c>
      <c r="L20" s="127">
        <v>-25</v>
      </c>
      <c r="M20" s="127">
        <v>-30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-10</v>
      </c>
      <c r="K21" s="127">
        <v>-10</v>
      </c>
      <c r="L21" s="127">
        <v>-10</v>
      </c>
      <c r="M21" s="127">
        <v>5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5</v>
      </c>
      <c r="L22" s="127">
        <v>5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10</v>
      </c>
      <c r="K23" s="134">
        <v>5</v>
      </c>
      <c r="L23" s="134">
        <v>5</v>
      </c>
      <c r="M23" s="134">
        <v>-5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30</v>
      </c>
      <c r="L24" s="134">
        <v>30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-30</v>
      </c>
      <c r="M25" s="134">
        <v>-35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-30</v>
      </c>
      <c r="K26" s="134">
        <v>-30</v>
      </c>
      <c r="L26" s="134">
        <v>-25</v>
      </c>
      <c r="M26" s="134">
        <v>-30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-10</v>
      </c>
      <c r="L27" s="134">
        <v>-10</v>
      </c>
      <c r="M27" s="134">
        <v>5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5</v>
      </c>
      <c r="L28" s="134">
        <v>5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</row>
    <row r="30" spans="1:28" x14ac:dyDescent="0.2"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</row>
    <row r="31" spans="1:28" x14ac:dyDescent="0.2"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</row>
    <row r="32" spans="1:28" x14ac:dyDescent="0.2"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</row>
    <row r="33" spans="10:26" x14ac:dyDescent="0.2"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</row>
    <row r="34" spans="10:26" x14ac:dyDescent="0.2"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</row>
    <row r="35" spans="10:26" x14ac:dyDescent="0.2"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</row>
    <row r="36" spans="10:26" x14ac:dyDescent="0.2"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</row>
  </sheetData>
  <protectedRanges>
    <protectedRange sqref="H18:AB18 O17:AB17 O19:AB21 H22:AB28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N21" name="入力範囲_4_1_1_1_1_1_2"/>
    <protectedRange sqref="H17:N17" name="入力範囲_4_1_1_1_1_1_3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8"/>
  <dimension ref="A1:AB41"/>
  <sheetViews>
    <sheetView zoomScale="145" zoomScaleNormal="145" workbookViewId="0">
      <selection activeCell="D1" sqref="D1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>
        <v>4</v>
      </c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117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18</v>
      </c>
      <c r="L4" s="111">
        <f t="shared" si="0"/>
        <v>24</v>
      </c>
      <c r="M4" s="111">
        <f t="shared" si="0"/>
        <v>29</v>
      </c>
      <c r="N4" s="111">
        <f t="shared" si="0"/>
        <v>33</v>
      </c>
      <c r="O4" s="111">
        <f t="shared" si="0"/>
        <v>39</v>
      </c>
      <c r="P4" s="111">
        <f t="shared" si="0"/>
        <v>44</v>
      </c>
      <c r="Q4" s="111">
        <f t="shared" si="0"/>
        <v>48</v>
      </c>
      <c r="R4" s="111">
        <f t="shared" si="0"/>
        <v>54</v>
      </c>
      <c r="S4" s="111">
        <f t="shared" si="0"/>
        <v>69</v>
      </c>
      <c r="T4" s="111">
        <f t="shared" si="0"/>
        <v>79</v>
      </c>
      <c r="U4" s="111">
        <f t="shared" si="0"/>
        <v>81</v>
      </c>
      <c r="V4" s="111">
        <f t="shared" si="0"/>
        <v>83</v>
      </c>
      <c r="W4" s="111">
        <f t="shared" si="0"/>
        <v>85</v>
      </c>
      <c r="X4" s="111">
        <f t="shared" si="0"/>
        <v>110</v>
      </c>
      <c r="Y4" s="111">
        <f t="shared" si="0"/>
        <v>210</v>
      </c>
      <c r="Z4" s="111">
        <f t="shared" si="0"/>
        <v>310</v>
      </c>
      <c r="AA4" s="111">
        <f t="shared" si="0"/>
        <v>410</v>
      </c>
      <c r="AB4" s="111">
        <f t="shared" si="0"/>
        <v>510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</v>
      </c>
      <c r="J5" s="113">
        <v>6</v>
      </c>
      <c r="K5" s="113">
        <v>0</v>
      </c>
      <c r="L5" s="113">
        <v>5</v>
      </c>
      <c r="M5" s="113">
        <v>4</v>
      </c>
      <c r="N5" s="113">
        <v>0</v>
      </c>
      <c r="O5" s="113">
        <f>L5</f>
        <v>5</v>
      </c>
      <c r="P5" s="113">
        <f t="shared" ref="P5:Q6" si="1">M5</f>
        <v>4</v>
      </c>
      <c r="Q5" s="113">
        <f t="shared" si="1"/>
        <v>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6</v>
      </c>
      <c r="L6" s="113">
        <v>0</v>
      </c>
      <c r="M6" s="113">
        <v>0</v>
      </c>
      <c r="N6" s="113">
        <v>6</v>
      </c>
      <c r="O6" s="113">
        <f>L6</f>
        <v>0</v>
      </c>
      <c r="P6" s="113">
        <f t="shared" si="1"/>
        <v>0</v>
      </c>
      <c r="Q6" s="113">
        <f t="shared" si="1"/>
        <v>6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10</v>
      </c>
      <c r="K8" s="144">
        <v>8</v>
      </c>
      <c r="L8" s="144">
        <v>-5</v>
      </c>
      <c r="M8" s="144">
        <v>-10</v>
      </c>
      <c r="N8" s="144">
        <v>-8</v>
      </c>
      <c r="O8" s="144">
        <f>-L8</f>
        <v>5</v>
      </c>
      <c r="P8" s="144">
        <f t="shared" ref="P8:Q8" si="2">-M8</f>
        <v>10</v>
      </c>
      <c r="Q8" s="144">
        <f t="shared" si="2"/>
        <v>8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>IF(E10=0,1,0)</f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>IF(E11=0,1,0)</f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>IF(E12=0,1,0)</f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-6</v>
      </c>
      <c r="K17" s="127">
        <v>-2</v>
      </c>
      <c r="L17" s="127">
        <v>2</v>
      </c>
      <c r="M17" s="127">
        <v>6</v>
      </c>
      <c r="N17" s="127">
        <v>8</v>
      </c>
      <c r="O17" s="127">
        <f t="shared" ref="O17:Q21" si="4">L23</f>
        <v>2</v>
      </c>
      <c r="P17" s="127">
        <f t="shared" si="4"/>
        <v>-2</v>
      </c>
      <c r="Q17" s="127">
        <f t="shared" si="4"/>
        <v>-2</v>
      </c>
      <c r="R17" s="127">
        <v>-5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f t="shared" si="4"/>
        <v>0</v>
      </c>
      <c r="P18" s="127">
        <f t="shared" si="4"/>
        <v>0</v>
      </c>
      <c r="Q18" s="127">
        <f t="shared" si="4"/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4</v>
      </c>
      <c r="K19" s="127">
        <v>14</v>
      </c>
      <c r="L19" s="127">
        <v>16</v>
      </c>
      <c r="M19" s="127">
        <v>31</v>
      </c>
      <c r="N19" s="127">
        <v>-34</v>
      </c>
      <c r="O19" s="127">
        <f t="shared" si="4"/>
        <v>-34</v>
      </c>
      <c r="P19" s="127">
        <f t="shared" si="4"/>
        <v>-9</v>
      </c>
      <c r="Q19" s="127">
        <f t="shared" si="4"/>
        <v>1</v>
      </c>
      <c r="R19" s="127">
        <v>-24</v>
      </c>
      <c r="S19" s="127">
        <v>-14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-4</v>
      </c>
      <c r="K20" s="127">
        <v>-8</v>
      </c>
      <c r="L20" s="127">
        <v>-3</v>
      </c>
      <c r="M20" s="127">
        <v>-3</v>
      </c>
      <c r="N20" s="127">
        <v>-30</v>
      </c>
      <c r="O20" s="127">
        <f t="shared" si="4"/>
        <v>25</v>
      </c>
      <c r="P20" s="127">
        <f t="shared" si="4"/>
        <v>7</v>
      </c>
      <c r="Q20" s="127">
        <f t="shared" si="4"/>
        <v>-4</v>
      </c>
      <c r="R20" s="127">
        <v>49</v>
      </c>
      <c r="S20" s="127">
        <v>-6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16</v>
      </c>
      <c r="K21" s="127">
        <v>-6</v>
      </c>
      <c r="L21" s="127">
        <v>0</v>
      </c>
      <c r="M21" s="127">
        <v>-3</v>
      </c>
      <c r="N21" s="127">
        <v>-16</v>
      </c>
      <c r="O21" s="127">
        <f t="shared" si="4"/>
        <v>3</v>
      </c>
      <c r="P21" s="127">
        <f t="shared" si="4"/>
        <v>14</v>
      </c>
      <c r="Q21" s="127">
        <f t="shared" si="4"/>
        <v>10</v>
      </c>
      <c r="R21" s="127">
        <v>7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f>L28</f>
        <v>0</v>
      </c>
      <c r="P22" s="127">
        <f t="shared" ref="P22:Q22" si="5">M28</f>
        <v>0</v>
      </c>
      <c r="Q22" s="127">
        <f t="shared" si="5"/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7</v>
      </c>
      <c r="K23" s="134">
        <v>6</v>
      </c>
      <c r="L23" s="134">
        <v>2</v>
      </c>
      <c r="M23" s="134">
        <v>-2</v>
      </c>
      <c r="N23" s="134">
        <v>-2</v>
      </c>
      <c r="O23" s="134">
        <f t="shared" ref="O23:Q28" si="6">L17</f>
        <v>2</v>
      </c>
      <c r="P23" s="134">
        <f t="shared" si="6"/>
        <v>6</v>
      </c>
      <c r="Q23" s="134">
        <f t="shared" si="6"/>
        <v>8</v>
      </c>
      <c r="R23" s="134">
        <v>3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f t="shared" si="6"/>
        <v>0</v>
      </c>
      <c r="P24" s="134">
        <f t="shared" si="6"/>
        <v>0</v>
      </c>
      <c r="Q24" s="134">
        <f t="shared" si="6"/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16</v>
      </c>
      <c r="K25" s="134">
        <v>-34</v>
      </c>
      <c r="L25" s="134">
        <v>-34</v>
      </c>
      <c r="M25" s="134">
        <v>-9</v>
      </c>
      <c r="N25" s="134">
        <v>1</v>
      </c>
      <c r="O25" s="134">
        <f t="shared" si="6"/>
        <v>16</v>
      </c>
      <c r="P25" s="134">
        <f t="shared" si="6"/>
        <v>31</v>
      </c>
      <c r="Q25" s="134">
        <f t="shared" si="6"/>
        <v>-34</v>
      </c>
      <c r="R25" s="134">
        <v>-14</v>
      </c>
      <c r="S25" s="134">
        <v>-9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6</v>
      </c>
      <c r="K26" s="134">
        <v>-30</v>
      </c>
      <c r="L26" s="134">
        <v>25</v>
      </c>
      <c r="M26" s="134">
        <v>7</v>
      </c>
      <c r="N26" s="134">
        <v>-4</v>
      </c>
      <c r="O26" s="134">
        <f t="shared" si="6"/>
        <v>-3</v>
      </c>
      <c r="P26" s="134">
        <f t="shared" si="6"/>
        <v>-3</v>
      </c>
      <c r="Q26" s="134">
        <f t="shared" si="6"/>
        <v>-30</v>
      </c>
      <c r="R26" s="134">
        <v>19</v>
      </c>
      <c r="S26" s="134">
        <v>4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-4</v>
      </c>
      <c r="L27" s="134">
        <v>3</v>
      </c>
      <c r="M27" s="134">
        <v>14</v>
      </c>
      <c r="N27" s="134">
        <v>10</v>
      </c>
      <c r="O27" s="134">
        <f t="shared" si="6"/>
        <v>0</v>
      </c>
      <c r="P27" s="134">
        <f t="shared" si="6"/>
        <v>-3</v>
      </c>
      <c r="Q27" s="134">
        <f t="shared" si="6"/>
        <v>-16</v>
      </c>
      <c r="R27" s="134">
        <v>2</v>
      </c>
      <c r="S27" s="134">
        <v>2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f t="shared" si="6"/>
        <v>0</v>
      </c>
      <c r="P28" s="134">
        <f t="shared" si="6"/>
        <v>0</v>
      </c>
      <c r="Q28" s="134">
        <f t="shared" si="6"/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05"/>
      <c r="W29" s="105"/>
      <c r="X29" s="105"/>
      <c r="Y29" s="105"/>
      <c r="Z29" s="105"/>
    </row>
    <row r="30" spans="1:28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05"/>
      <c r="W30" s="105"/>
      <c r="X30" s="105"/>
      <c r="Y30" s="105"/>
      <c r="Z30" s="105"/>
    </row>
    <row r="31" spans="1:28" x14ac:dyDescent="0.2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05"/>
      <c r="W31" s="105"/>
      <c r="X31" s="105"/>
      <c r="Y31" s="105"/>
      <c r="Z31" s="105"/>
    </row>
    <row r="32" spans="1:28" x14ac:dyDescent="0.2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05"/>
      <c r="W32" s="105"/>
      <c r="X32" s="105"/>
      <c r="Y32" s="105"/>
      <c r="Z32" s="105"/>
    </row>
    <row r="33" spans="1:26" x14ac:dyDescent="0.2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05"/>
      <c r="W33" s="105"/>
      <c r="X33" s="105"/>
      <c r="Y33" s="105"/>
      <c r="Z33" s="105"/>
    </row>
    <row r="34" spans="1:26" x14ac:dyDescent="0.2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05"/>
      <c r="W34" s="105"/>
      <c r="X34" s="105"/>
      <c r="Y34" s="105"/>
      <c r="Z34" s="105"/>
    </row>
    <row r="35" spans="1:26" x14ac:dyDescent="0.2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05"/>
      <c r="W35" s="105"/>
      <c r="X35" s="105"/>
      <c r="Y35" s="105"/>
      <c r="Z35" s="105"/>
    </row>
    <row r="36" spans="1:26" x14ac:dyDescent="0.2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05"/>
      <c r="W36" s="105"/>
      <c r="X36" s="105"/>
      <c r="Y36" s="105"/>
      <c r="Z36" s="105"/>
    </row>
    <row r="37" spans="1:26" x14ac:dyDescent="0.2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</row>
    <row r="38" spans="1:26" x14ac:dyDescent="0.2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</row>
    <row r="39" spans="1:26" x14ac:dyDescent="0.2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</row>
    <row r="40" spans="1:26" x14ac:dyDescent="0.2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</row>
    <row r="41" spans="1:26" x14ac:dyDescent="0.2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</row>
  </sheetData>
  <protectedRanges>
    <protectedRange sqref="U17:AB17 V23:AB23 U25:AB27 H18:AB18 H22:AB22 H24:AB24 H28:AB28 U19:AB21" name="入力範囲_4_1_1_1_1_1"/>
    <protectedRange sqref="E22 E17:E21" name="入力範囲_4_1_1_1_3_1_1"/>
    <protectedRange sqref="U8:AB8" name="入力範囲_4_1_1_1_1_1_1"/>
    <protectedRange sqref="E8" name="入力範囲_4_1_1_1_3_1_1_1"/>
    <protectedRange sqref="E13:E16 E23:E28" name="入力範囲_4_1_1_1_3_1_1_2"/>
    <protectedRange sqref="H8:T8" name="入力範囲_4_1_1_1_1_1_2"/>
    <protectedRange sqref="H19:T21" name="入力範囲_4_1_1_1_1_1_3"/>
    <protectedRange sqref="H25:T27" name="入力範囲_4_1_1_1_1_1_9"/>
    <protectedRange sqref="H17:T17" name="入力範囲_4_1_1_1_1_1_10"/>
    <protectedRange sqref="U23" name="入力範囲_4_1_1_1_1_1_11"/>
    <protectedRange sqref="H23:T23" name="入力範囲_4_1_1_1_1_1_12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6"/>
  <dimension ref="A1:AB57"/>
  <sheetViews>
    <sheetView zoomScale="130" zoomScaleNormal="130" workbookViewId="0">
      <selection activeCell="R8" sqref="R8:T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0"/>
  <dimension ref="A1:AB57"/>
  <sheetViews>
    <sheetView workbookViewId="0">
      <selection activeCell="M1" sqref="M1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9"/>
  <dimension ref="A1:AB57"/>
  <sheetViews>
    <sheetView workbookViewId="0">
      <selection activeCell="F3" sqref="F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4"/>
  <dimension ref="A1:AB57"/>
  <sheetViews>
    <sheetView topLeftCell="G1" workbookViewId="0">
      <selection activeCell="R6" sqref="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3"/>
  <dimension ref="A1:AB57"/>
  <sheetViews>
    <sheetView workbookViewId="0">
      <selection activeCell="M7" sqref="M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2"/>
  <dimension ref="A1:AB57"/>
  <sheetViews>
    <sheetView workbookViewId="0">
      <selection activeCell="K27" sqref="K2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1"/>
  <dimension ref="A1:AB57"/>
  <sheetViews>
    <sheetView workbookViewId="0">
      <selection activeCell="M22" sqref="M22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7"/>
  <dimension ref="A1:AB57"/>
  <sheetViews>
    <sheetView workbookViewId="0">
      <selection activeCell="H5" sqref="H5: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8"/>
  <dimension ref="A1:AB57"/>
  <sheetViews>
    <sheetView workbookViewId="0">
      <selection activeCell="J48" sqref="J48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/>
  <dimension ref="A1:AB57"/>
  <sheetViews>
    <sheetView topLeftCell="C1" workbookViewId="0">
      <selection activeCell="K6" sqref="K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8"/>
  <dimension ref="A1:AB57"/>
  <sheetViews>
    <sheetView topLeftCell="D1" workbookViewId="0">
      <selection activeCell="S23" sqref="S2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7"/>
  <dimension ref="A1:AB57"/>
  <sheetViews>
    <sheetView topLeftCell="B1" workbookViewId="0">
      <selection activeCell="S15" sqref="S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6"/>
  <dimension ref="A1:AB57"/>
  <sheetViews>
    <sheetView topLeftCell="E1" workbookViewId="0">
      <selection activeCell="R20" sqref="R20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5"/>
  <dimension ref="A1:AB57"/>
  <sheetViews>
    <sheetView workbookViewId="0">
      <selection activeCell="G65" sqref="G6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G16"/>
  <sheetViews>
    <sheetView workbookViewId="0">
      <selection activeCell="AF7" sqref="AF7"/>
    </sheetView>
  </sheetViews>
  <sheetFormatPr defaultRowHeight="13.2" x14ac:dyDescent="0.2"/>
  <cols>
    <col min="1" max="7" width="8.77734375" style="70"/>
  </cols>
  <sheetData>
    <row r="1" spans="2:7" ht="13.8" thickBot="1" x14ac:dyDescent="0.25"/>
    <row r="2" spans="2:7" ht="13.8" thickBot="1" x14ac:dyDescent="0.25">
      <c r="B2" s="71" t="s">
        <v>90</v>
      </c>
      <c r="C2" s="72"/>
      <c r="E2" s="73" t="s">
        <v>91</v>
      </c>
      <c r="F2" s="74"/>
      <c r="G2" s="75"/>
    </row>
    <row r="3" spans="2:7" x14ac:dyDescent="0.2">
      <c r="B3" s="73" t="s">
        <v>23</v>
      </c>
      <c r="C3" s="76">
        <v>5</v>
      </c>
      <c r="E3" s="77" t="s">
        <v>29</v>
      </c>
      <c r="G3" s="78" t="s">
        <v>30</v>
      </c>
    </row>
    <row r="4" spans="2:7" ht="13.8" thickBot="1" x14ac:dyDescent="0.25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 x14ac:dyDescent="0.2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8" thickBot="1" x14ac:dyDescent="0.25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8" thickBot="1" x14ac:dyDescent="0.25">
      <c r="B7" s="86" t="s">
        <v>27</v>
      </c>
      <c r="C7" s="87">
        <v>1</v>
      </c>
      <c r="F7" s="85">
        <v>0</v>
      </c>
      <c r="G7" s="85"/>
    </row>
    <row r="8" spans="2:7" x14ac:dyDescent="0.2">
      <c r="F8" s="85">
        <v>1</v>
      </c>
      <c r="G8" s="85"/>
    </row>
    <row r="9" spans="2:7" x14ac:dyDescent="0.2">
      <c r="F9" s="85">
        <v>6</v>
      </c>
      <c r="G9" s="85"/>
    </row>
    <row r="10" spans="2:7" x14ac:dyDescent="0.2">
      <c r="F10" s="85">
        <v>0</v>
      </c>
      <c r="G10" s="85"/>
    </row>
    <row r="11" spans="2:7" x14ac:dyDescent="0.2">
      <c r="F11" s="85">
        <v>3</v>
      </c>
      <c r="G11" s="85"/>
    </row>
    <row r="12" spans="2:7" x14ac:dyDescent="0.2">
      <c r="F12" s="85">
        <v>40</v>
      </c>
      <c r="G12" s="85"/>
    </row>
    <row r="13" spans="2:7" x14ac:dyDescent="0.2">
      <c r="F13" s="88">
        <v>0</v>
      </c>
    </row>
    <row r="14" spans="2:7" x14ac:dyDescent="0.2">
      <c r="F14" s="88">
        <v>1</v>
      </c>
    </row>
    <row r="15" spans="2:7" x14ac:dyDescent="0.2">
      <c r="F15" s="70" t="s">
        <v>95</v>
      </c>
    </row>
    <row r="16" spans="2:7" x14ac:dyDescent="0.2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/>
  <dimension ref="D2:D7"/>
  <sheetViews>
    <sheetView workbookViewId="0">
      <selection activeCell="D19" sqref="D19"/>
    </sheetView>
  </sheetViews>
  <sheetFormatPr defaultRowHeight="13.2" x14ac:dyDescent="0.2"/>
  <sheetData>
    <row r="2" spans="4:4" x14ac:dyDescent="0.2">
      <c r="D2" s="69" t="s">
        <v>84</v>
      </c>
    </row>
    <row r="3" spans="4:4" x14ac:dyDescent="0.2">
      <c r="D3" s="69" t="s">
        <v>85</v>
      </c>
    </row>
    <row r="4" spans="4:4" x14ac:dyDescent="0.2">
      <c r="D4" s="69" t="s">
        <v>86</v>
      </c>
    </row>
    <row r="5" spans="4:4" x14ac:dyDescent="0.2">
      <c r="D5" s="69" t="s">
        <v>87</v>
      </c>
    </row>
    <row r="6" spans="4:4" x14ac:dyDescent="0.2">
      <c r="D6" s="69" t="s">
        <v>88</v>
      </c>
    </row>
    <row r="7" spans="4:4" x14ac:dyDescent="0.2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dynamixel</vt:lpstr>
      <vt:lpstr>dynamixel_atk</vt:lpstr>
      <vt:lpstr>dynamixel_wake_b</vt:lpstr>
      <vt:lpstr>dynamixel_wake_f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numai</cp:lastModifiedBy>
  <dcterms:created xsi:type="dcterms:W3CDTF">2015-05-03T10:14:58Z</dcterms:created>
  <dcterms:modified xsi:type="dcterms:W3CDTF">2024-09-17T12:15:04Z</dcterms:modified>
</cp:coreProperties>
</file>