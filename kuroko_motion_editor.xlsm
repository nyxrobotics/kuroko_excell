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 activeTab="3"/>
  </bookViews>
  <sheets>
    <sheet name="dynamixel_wake_b" sheetId="38" r:id="rId1"/>
    <sheet name="dynamixel_wake_f" sheetId="36" r:id="rId2"/>
    <sheet name="dynamixel" sheetId="35" r:id="rId3"/>
    <sheet name="dynamixel_walk" sheetId="37" r:id="rId4"/>
    <sheet name="Walk" sheetId="23" r:id="rId5"/>
    <sheet name="Atk_R_low" sheetId="27" r:id="rId6"/>
    <sheet name="Atk_R_high" sheetId="26" r:id="rId7"/>
    <sheet name="Atk_B" sheetId="31" r:id="rId8"/>
    <sheet name="Atk_F" sheetId="30" r:id="rId9"/>
    <sheet name="Atk_L_low" sheetId="29" r:id="rId10"/>
    <sheet name="Atk_L_high" sheetId="28" r:id="rId11"/>
    <sheet name="WakeF" sheetId="24" r:id="rId12"/>
    <sheet name="WakeB" sheetId="25" r:id="rId13"/>
    <sheet name="Back" sheetId="33" r:id="rId14"/>
    <sheet name="Left" sheetId="13" r:id="rId15"/>
    <sheet name="Right" sheetId="12" r:id="rId16"/>
    <sheet name="LRoll" sheetId="11" r:id="rId17"/>
    <sheet name="RRoll" sheetId="10" r:id="rId18"/>
    <sheet name="COM" sheetId="1" r:id="rId19"/>
    <sheet name="git" sheetId="34" r:id="rId20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0" i="37" l="1"/>
  <c r="Q20" i="37"/>
  <c r="O20" i="37"/>
  <c r="K8" i="37" l="1"/>
  <c r="K9" i="37"/>
  <c r="K12" i="37"/>
  <c r="K13" i="37"/>
  <c r="P35" i="37"/>
  <c r="P14" i="37" s="1"/>
  <c r="Q35" i="37"/>
  <c r="R35" i="37"/>
  <c r="S35" i="37"/>
  <c r="P36" i="37"/>
  <c r="Q36" i="37"/>
  <c r="R36" i="37"/>
  <c r="S36" i="37"/>
  <c r="P37" i="37"/>
  <c r="Q37" i="37"/>
  <c r="R37" i="37"/>
  <c r="S37" i="37"/>
  <c r="P38" i="37"/>
  <c r="Q38" i="37"/>
  <c r="R38" i="37"/>
  <c r="S38" i="37"/>
  <c r="P39" i="37"/>
  <c r="P18" i="37" s="1"/>
  <c r="Q39" i="37"/>
  <c r="Q18" i="37" s="1"/>
  <c r="R39" i="37"/>
  <c r="S39" i="37"/>
  <c r="P40" i="37"/>
  <c r="P19" i="37" s="1"/>
  <c r="Q40" i="37"/>
  <c r="Q19" i="37" s="1"/>
  <c r="R40" i="37"/>
  <c r="S40" i="37"/>
  <c r="O36" i="37"/>
  <c r="O37" i="37"/>
  <c r="O38" i="37"/>
  <c r="O39" i="37"/>
  <c r="O40" i="37"/>
  <c r="O35" i="37"/>
  <c r="O14" i="37"/>
  <c r="O15" i="37"/>
  <c r="O18" i="37"/>
  <c r="O19" i="37"/>
  <c r="Q14" i="37"/>
  <c r="P15" i="37"/>
  <c r="Q15" i="37"/>
  <c r="P5" i="37"/>
  <c r="Q5" i="37"/>
  <c r="P6" i="37"/>
  <c r="Q6" i="37"/>
  <c r="O6" i="37"/>
  <c r="O5" i="37"/>
  <c r="J26" i="36"/>
  <c r="K26" i="36"/>
  <c r="L26" i="36"/>
  <c r="M26" i="36"/>
  <c r="N26" i="36"/>
  <c r="J27" i="36"/>
  <c r="K27" i="36"/>
  <c r="L27" i="36"/>
  <c r="M27" i="36"/>
  <c r="N27" i="36"/>
  <c r="J28" i="36"/>
  <c r="K28" i="36"/>
  <c r="L28" i="36"/>
  <c r="M28" i="36"/>
  <c r="N28" i="36"/>
  <c r="K25" i="36"/>
  <c r="L25" i="36"/>
  <c r="M25" i="36"/>
  <c r="N25" i="36"/>
  <c r="J25" i="36"/>
  <c r="I32" i="37" l="1"/>
  <c r="Q11" i="37" s="1"/>
  <c r="L8" i="37"/>
  <c r="M8" i="37"/>
  <c r="N8" i="37"/>
  <c r="O8" i="37"/>
  <c r="P8" i="37"/>
  <c r="Q8" i="37"/>
  <c r="R8" i="37"/>
  <c r="S8" i="37"/>
  <c r="L9" i="37"/>
  <c r="M9" i="37"/>
  <c r="N9" i="37"/>
  <c r="O9" i="37"/>
  <c r="P9" i="37"/>
  <c r="Q9" i="37"/>
  <c r="R9" i="37"/>
  <c r="S9" i="37"/>
  <c r="L10" i="37"/>
  <c r="M10" i="37"/>
  <c r="O10" i="37"/>
  <c r="P10" i="37"/>
  <c r="Q10" i="37"/>
  <c r="R10" i="37"/>
  <c r="S10" i="37"/>
  <c r="M11" i="37"/>
  <c r="L12" i="37"/>
  <c r="M12" i="37"/>
  <c r="N12" i="37"/>
  <c r="O12" i="37"/>
  <c r="P12" i="37"/>
  <c r="Q12" i="37"/>
  <c r="R12" i="37"/>
  <c r="S12" i="37"/>
  <c r="L13" i="37"/>
  <c r="M13" i="37"/>
  <c r="N13" i="37"/>
  <c r="O13" i="37"/>
  <c r="P13" i="37"/>
  <c r="Q13" i="37"/>
  <c r="R13" i="37"/>
  <c r="S13" i="37"/>
  <c r="K14" i="37"/>
  <c r="L14" i="37"/>
  <c r="M14" i="37"/>
  <c r="N14" i="37"/>
  <c r="R14" i="37"/>
  <c r="S14" i="37"/>
  <c r="K15" i="37"/>
  <c r="L15" i="37"/>
  <c r="M15" i="37"/>
  <c r="N15" i="37"/>
  <c r="R15" i="37"/>
  <c r="S15" i="37"/>
  <c r="K18" i="37"/>
  <c r="L18" i="37"/>
  <c r="M18" i="37"/>
  <c r="N18" i="37"/>
  <c r="R18" i="37"/>
  <c r="S18" i="37"/>
  <c r="K19" i="37"/>
  <c r="L19" i="37"/>
  <c r="M19" i="37"/>
  <c r="N19" i="37"/>
  <c r="R19" i="37"/>
  <c r="S19" i="37"/>
  <c r="R20" i="37"/>
  <c r="S20" i="37"/>
  <c r="J12" i="37"/>
  <c r="J14" i="37"/>
  <c r="J18" i="37"/>
  <c r="J8" i="37"/>
  <c r="N35" i="37"/>
  <c r="M35" i="37"/>
  <c r="L35" i="37"/>
  <c r="K35" i="37"/>
  <c r="J35" i="37"/>
  <c r="S29" i="37"/>
  <c r="R29" i="37"/>
  <c r="Q29" i="37"/>
  <c r="P29" i="37"/>
  <c r="O29" i="37"/>
  <c r="N29" i="37"/>
  <c r="M29" i="37"/>
  <c r="L29" i="37"/>
  <c r="K29" i="37"/>
  <c r="J29" i="37"/>
  <c r="P13" i="38"/>
  <c r="K13" i="38"/>
  <c r="L13" i="38"/>
  <c r="M13" i="38"/>
  <c r="M19" i="38" s="1"/>
  <c r="N13" i="38"/>
  <c r="O13" i="38"/>
  <c r="O19" i="38" s="1"/>
  <c r="P19" i="38"/>
  <c r="K19" i="38"/>
  <c r="L19" i="38"/>
  <c r="N19" i="38"/>
  <c r="K15" i="38"/>
  <c r="L15" i="38"/>
  <c r="M15" i="38"/>
  <c r="N15" i="38"/>
  <c r="O15" i="38"/>
  <c r="P15" i="38"/>
  <c r="J19" i="38"/>
  <c r="J15" i="38"/>
  <c r="J13" i="38"/>
  <c r="E28" i="38"/>
  <c r="E27" i="38"/>
  <c r="E26" i="38"/>
  <c r="E25" i="38"/>
  <c r="E19" i="38"/>
  <c r="E18" i="38"/>
  <c r="E17" i="38"/>
  <c r="E16" i="38"/>
  <c r="E15" i="38"/>
  <c r="E14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L11" i="37" l="1"/>
  <c r="O11" i="37"/>
  <c r="S11" i="37"/>
  <c r="R11" i="37"/>
  <c r="P11" i="37"/>
  <c r="I38" i="37"/>
  <c r="I37" i="37"/>
  <c r="E28" i="37"/>
  <c r="E27" i="37"/>
  <c r="E26" i="37"/>
  <c r="E25" i="37"/>
  <c r="E19" i="37"/>
  <c r="E18" i="37"/>
  <c r="E17" i="37"/>
  <c r="E16" i="37"/>
  <c r="E15" i="37"/>
  <c r="E14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25" i="36"/>
  <c r="E28" i="36"/>
  <c r="E27" i="36"/>
  <c r="E26" i="36"/>
  <c r="E19" i="36"/>
  <c r="E18" i="36"/>
  <c r="E17" i="36"/>
  <c r="E16" i="36"/>
  <c r="E15" i="36"/>
  <c r="E14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O16" i="37" l="1"/>
  <c r="P16" i="37"/>
  <c r="Q16" i="37"/>
  <c r="O17" i="37"/>
  <c r="P17" i="37"/>
  <c r="Q17" i="37"/>
  <c r="L17" i="37"/>
  <c r="R17" i="37"/>
  <c r="M17" i="37"/>
  <c r="N17" i="37"/>
  <c r="S17" i="37"/>
  <c r="R16" i="37"/>
  <c r="S16" i="37"/>
  <c r="M16" i="37"/>
  <c r="N16" i="37"/>
  <c r="L16" i="37"/>
  <c r="E19" i="35"/>
  <c r="E26" i="35" l="1"/>
  <c r="E27" i="35"/>
  <c r="E28" i="35"/>
  <c r="E15" i="35"/>
  <c r="E16" i="35"/>
  <c r="E17" i="35"/>
  <c r="E18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<sst xmlns="http://schemas.openxmlformats.org/spreadsheetml/2006/main" count="1358" uniqueCount="109">
  <si>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</si>
  <si>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</si>
  <si>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</si>
  <si>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</si>
  <si>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</si>
  <si>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</si>
  <si>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</si>
  <si>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</si>
  <si>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</si>
  <si>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</si>
  <si>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</si>
  <si>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</si>
  <si>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</si>
  <si>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</si>
  <si>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</si>
  <si>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</si>
  <si>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</si>
  <si>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</si>
  <si>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</si>
  <si>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</si>
  <si>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</si>
  <si>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</si>
  <si>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</si>
  <si>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</si>
  <si>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</si>
  <si>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</si>
  <si>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</si>
  <si>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</si>
  <si>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</si>
  <si>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</si>
  <si>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</si>
  <si>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</si>
  <si>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</si>
  <si>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</si>
  <si>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</si>
  <si>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</si>
  <si>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</si>
  <si>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</si>
  <si>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</si>
  <si>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</si>
  <si>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</si>
  <si>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</si>
  <si>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</si>
  <si>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</si>
  <si>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</si>
  <si>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</si>
  <si>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</si>
  <si>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</si>
  <si>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</si>
  <si>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</si>
  <si>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</si>
  <si>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</si>
  <si>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</si>
  <si>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</si>
  <si>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</si>
  <si>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</si>
  <si>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</si>
  <si>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</si>
  <si>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</si>
  <si>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</si>
  <si>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</si>
  <si>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</si>
  <si>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</si>
  <si>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</si>
  <si>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</si>
  <si>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</si>
  <si>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</si>
  <si>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</si>
  <si>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</si>
  <si>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</si>
  <si>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</si>
  <si>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</si>
  <si>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</si>
  <si>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</si>
  <si>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</si>
  <si>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</si>
  <si>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</si>
  <si>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</si>
  <si>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</si>
  <si>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</si>
  <si>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</si>
  <si>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</si>
  <si>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</si>
  <si>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</si>
  <si>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</si>
  <si>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</si>
  <si>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</si>
  <si>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</si>
  <si>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</si>
  <si>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</si>
  <si>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</si>
  <si>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</si>
  <si>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</si>
  <si>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</si>
  <si>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</si>
  <si>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</si>
  <si>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</si>
  <si>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</si>
  <si>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</si>
  <si>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</si>
  <si>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</si>
  <si>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</si>
  <si>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</si>
  <si>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</si>
  <si>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</si>
  <si>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</si>
  <si>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</si>
  <si>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</si>
  <si>
    <t>時間床依存</t>
    <rPh sb="0" eb="2">
      <t>ジカン</t>
    </rPh>
    <rPh sb="2" eb="5">
      <t>ユカイゾン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</si>
</sst>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177" fontId="21" fillId="12" borderId="4" xfId="0" applyNumberFormat="1" applyFont="1" applyFill="1" applyBorder="1" applyAlignment="1">
      <alignment horizontal="righ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177" fontId="0" fillId="0" borderId="0" xfId="0" applyNumberFormat="1" applyFill="1">
      <alignment vertical="center"/>
    </xf>
    <xf numFmtId="177" fontId="14" fillId="0" borderId="0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A1:AB51"/>
  <sheetViews>
    <sheetView zoomScale="145" zoomScaleNormal="145" workbookViewId="0">
      <selection activeCell="O3" sqref="O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 t="s">
        <v>108</v>
      </c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152</v>
      </c>
      <c r="M4" s="62">
        <f t="shared" si="0"/>
        <v>192</v>
      </c>
      <c r="N4" s="62">
        <f t="shared" si="0"/>
        <v>212</v>
      </c>
      <c r="O4" s="62">
        <f t="shared" si="0"/>
        <v>232</v>
      </c>
      <c r="P4" s="62">
        <f t="shared" si="0"/>
        <v>302</v>
      </c>
      <c r="Q4" s="62">
        <f t="shared" si="0"/>
        <v>322</v>
      </c>
      <c r="R4" s="62">
        <f t="shared" si="0"/>
        <v>362</v>
      </c>
      <c r="S4" s="62">
        <f t="shared" si="0"/>
        <v>402</v>
      </c>
      <c r="T4" s="62">
        <f t="shared" si="0"/>
        <v>502</v>
      </c>
      <c r="U4" s="62">
        <f t="shared" si="0"/>
        <v>512</v>
      </c>
      <c r="V4" s="62">
        <f t="shared" si="0"/>
        <v>514</v>
      </c>
      <c r="W4" s="62">
        <f t="shared" si="0"/>
        <v>516</v>
      </c>
      <c r="X4" s="62">
        <f t="shared" si="0"/>
        <v>541</v>
      </c>
      <c r="Y4" s="62">
        <f t="shared" si="0"/>
        <v>641</v>
      </c>
      <c r="Z4" s="62">
        <f t="shared" si="0"/>
        <v>741</v>
      </c>
      <c r="AA4" s="62">
        <f t="shared" si="0"/>
        <v>841</v>
      </c>
      <c r="AB4" s="62">
        <f t="shared" si="0"/>
        <v>941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40</v>
      </c>
      <c r="L5" s="63">
        <v>40</v>
      </c>
      <c r="M5" s="63">
        <v>20</v>
      </c>
      <c r="N5" s="63">
        <v>20</v>
      </c>
      <c r="O5" s="63">
        <v>70</v>
      </c>
      <c r="P5" s="63">
        <v>20</v>
      </c>
      <c r="Q5" s="63">
        <v>40</v>
      </c>
      <c r="R5" s="63">
        <v>40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-3</v>
      </c>
      <c r="G9" s="38">
        <v>-5</v>
      </c>
      <c r="H9" s="38">
        <v>0</v>
      </c>
      <c r="I9" s="38">
        <v>0</v>
      </c>
      <c r="J9" s="38">
        <v>-5</v>
      </c>
      <c r="K9" s="38">
        <v>-5</v>
      </c>
      <c r="L9" s="38">
        <v>-5</v>
      </c>
      <c r="M9" s="38">
        <v>-5</v>
      </c>
      <c r="N9" s="38">
        <v>-5</v>
      </c>
      <c r="O9" s="38">
        <v>-5</v>
      </c>
      <c r="P9" s="38">
        <v>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2</v>
      </c>
      <c r="H10" s="38">
        <v>0</v>
      </c>
      <c r="I10" s="38">
        <v>0</v>
      </c>
      <c r="J10" s="38">
        <v>-35</v>
      </c>
      <c r="K10" s="38">
        <v>-35</v>
      </c>
      <c r="L10" s="38">
        <v>-35</v>
      </c>
      <c r="M10" s="38">
        <v>-35</v>
      </c>
      <c r="N10" s="38">
        <v>-35</v>
      </c>
      <c r="O10" s="38">
        <v>-35</v>
      </c>
      <c r="P10" s="38">
        <v>-35</v>
      </c>
      <c r="Q10" s="38">
        <v>-20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-1</v>
      </c>
      <c r="H11" s="38">
        <v>0</v>
      </c>
      <c r="I11" s="38">
        <v>0</v>
      </c>
      <c r="J11" s="38">
        <v>-35</v>
      </c>
      <c r="K11" s="38">
        <v>-35</v>
      </c>
      <c r="L11" s="38">
        <v>-35</v>
      </c>
      <c r="M11" s="38">
        <v>-35</v>
      </c>
      <c r="N11" s="38">
        <v>-35</v>
      </c>
      <c r="O11" s="38">
        <v>-35</v>
      </c>
      <c r="P11" s="38">
        <v>-35</v>
      </c>
      <c r="Q11" s="38">
        <v>-20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-3</v>
      </c>
      <c r="G13" s="38">
        <v>13</v>
      </c>
      <c r="H13" s="38">
        <v>0</v>
      </c>
      <c r="I13" s="38">
        <v>0</v>
      </c>
      <c r="J13" s="38">
        <f>-J9</f>
        <v>5</v>
      </c>
      <c r="K13" s="38">
        <f t="shared" ref="K13:P13" si="1">-K9</f>
        <v>5</v>
      </c>
      <c r="L13" s="38">
        <f t="shared" si="1"/>
        <v>5</v>
      </c>
      <c r="M13" s="38">
        <f t="shared" si="1"/>
        <v>5</v>
      </c>
      <c r="N13" s="38">
        <f t="shared" si="1"/>
        <v>5</v>
      </c>
      <c r="O13" s="38">
        <f t="shared" si="1"/>
        <v>5</v>
      </c>
      <c r="P13" s="38">
        <f t="shared" si="1"/>
        <v>-5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2">IF(E9=0,1,0)</f>
        <v>0</v>
      </c>
      <c r="F15" s="44">
        <v>0</v>
      </c>
      <c r="G15" s="44">
        <v>-10</v>
      </c>
      <c r="H15" s="44">
        <v>0</v>
      </c>
      <c r="I15" s="44">
        <v>0</v>
      </c>
      <c r="J15" s="44">
        <f>J9</f>
        <v>-5</v>
      </c>
      <c r="K15" s="44">
        <f t="shared" ref="K15:P15" si="3">K9</f>
        <v>-5</v>
      </c>
      <c r="L15" s="44">
        <f t="shared" si="3"/>
        <v>-5</v>
      </c>
      <c r="M15" s="44">
        <f t="shared" si="3"/>
        <v>-5</v>
      </c>
      <c r="N15" s="44">
        <f t="shared" si="3"/>
        <v>-5</v>
      </c>
      <c r="O15" s="44">
        <f t="shared" si="3"/>
        <v>-5</v>
      </c>
      <c r="P15" s="44">
        <f t="shared" si="3"/>
        <v>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2"/>
        <v>0</v>
      </c>
      <c r="F16" s="44">
        <v>-2</v>
      </c>
      <c r="G16" s="44">
        <v>2</v>
      </c>
      <c r="H16" s="44">
        <v>0</v>
      </c>
      <c r="I16" s="44">
        <v>0</v>
      </c>
      <c r="J16" s="44">
        <v>-35</v>
      </c>
      <c r="K16" s="44">
        <v>-35</v>
      </c>
      <c r="L16" s="44">
        <v>-35</v>
      </c>
      <c r="M16" s="44">
        <v>-35</v>
      </c>
      <c r="N16" s="44">
        <v>-35</v>
      </c>
      <c r="O16" s="44">
        <v>-35</v>
      </c>
      <c r="P16" s="44">
        <v>-35</v>
      </c>
      <c r="Q16" s="44">
        <v>-20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2"/>
        <v>1</v>
      </c>
      <c r="F17" s="44">
        <v>13</v>
      </c>
      <c r="G17" s="44">
        <v>-2</v>
      </c>
      <c r="H17" s="44">
        <v>0</v>
      </c>
      <c r="I17" s="44">
        <v>0</v>
      </c>
      <c r="J17" s="44">
        <v>-35</v>
      </c>
      <c r="K17" s="44">
        <v>-35</v>
      </c>
      <c r="L17" s="44">
        <v>-35</v>
      </c>
      <c r="M17" s="44">
        <v>-35</v>
      </c>
      <c r="N17" s="44">
        <v>-35</v>
      </c>
      <c r="O17" s="44">
        <v>-35</v>
      </c>
      <c r="P17" s="44">
        <v>-35</v>
      </c>
      <c r="Q17" s="44">
        <v>-20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2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3</v>
      </c>
      <c r="G19" s="44">
        <v>13</v>
      </c>
      <c r="H19" s="44">
        <v>0</v>
      </c>
      <c r="I19" s="44">
        <v>0</v>
      </c>
      <c r="J19" s="44">
        <f>J13</f>
        <v>5</v>
      </c>
      <c r="K19" s="44">
        <f t="shared" ref="K19:P19" si="4">K13</f>
        <v>5</v>
      </c>
      <c r="L19" s="44">
        <f t="shared" si="4"/>
        <v>5</v>
      </c>
      <c r="M19" s="44">
        <f t="shared" si="4"/>
        <v>5</v>
      </c>
      <c r="N19" s="44">
        <f t="shared" si="4"/>
        <v>5</v>
      </c>
      <c r="O19" s="44">
        <f t="shared" si="4"/>
        <v>5</v>
      </c>
      <c r="P19" s="44">
        <f t="shared" si="4"/>
        <v>-5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30</v>
      </c>
      <c r="K21" s="38">
        <v>-120</v>
      </c>
      <c r="L21" s="38">
        <v>-130</v>
      </c>
      <c r="M21" s="38">
        <v>-100</v>
      </c>
      <c r="N21" s="38">
        <v>-70</v>
      </c>
      <c r="O21" s="38">
        <v>-45</v>
      </c>
      <c r="P21" s="38">
        <v>-80</v>
      </c>
      <c r="Q21" s="38">
        <v>-50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90</v>
      </c>
      <c r="K22" s="38">
        <v>100</v>
      </c>
      <c r="L22" s="38">
        <v>80</v>
      </c>
      <c r="M22" s="38">
        <v>0</v>
      </c>
      <c r="N22" s="38">
        <v>10</v>
      </c>
      <c r="O22" s="38">
        <v>10</v>
      </c>
      <c r="P22" s="38">
        <v>60</v>
      </c>
      <c r="Q22" s="38">
        <v>45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-150</v>
      </c>
      <c r="L23" s="38">
        <v>-247</v>
      </c>
      <c r="M23" s="38">
        <v>-247</v>
      </c>
      <c r="N23" s="38">
        <v>-247</v>
      </c>
      <c r="O23" s="38">
        <v>-130</v>
      </c>
      <c r="P23" s="38">
        <v>-160</v>
      </c>
      <c r="Q23" s="38">
        <v>-45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-150</v>
      </c>
      <c r="L24" s="38">
        <v>-255</v>
      </c>
      <c r="M24" s="38">
        <v>-255</v>
      </c>
      <c r="N24" s="38">
        <v>-255</v>
      </c>
      <c r="O24" s="38">
        <v>-140</v>
      </c>
      <c r="P24" s="38">
        <v>-160</v>
      </c>
      <c r="Q24" s="38">
        <v>-45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5">IF(E21=0,1,0)</f>
        <v>1</v>
      </c>
      <c r="F25" s="44">
        <v>50</v>
      </c>
      <c r="G25" s="44">
        <v>0</v>
      </c>
      <c r="H25" s="44">
        <v>0</v>
      </c>
      <c r="I25" s="44">
        <v>0</v>
      </c>
      <c r="J25" s="44">
        <v>30</v>
      </c>
      <c r="K25" s="44">
        <v>-120</v>
      </c>
      <c r="L25" s="44">
        <v>-130</v>
      </c>
      <c r="M25" s="44">
        <v>-100</v>
      </c>
      <c r="N25" s="44">
        <v>-70</v>
      </c>
      <c r="O25" s="44">
        <v>-45</v>
      </c>
      <c r="P25" s="44">
        <v>-80</v>
      </c>
      <c r="Q25" s="44">
        <v>-50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5"/>
        <v>1</v>
      </c>
      <c r="F26" s="44">
        <v>2</v>
      </c>
      <c r="G26" s="44">
        <v>0</v>
      </c>
      <c r="H26" s="44">
        <v>0</v>
      </c>
      <c r="I26" s="44">
        <v>0</v>
      </c>
      <c r="J26" s="44">
        <v>90</v>
      </c>
      <c r="K26" s="44">
        <v>100</v>
      </c>
      <c r="L26" s="44">
        <v>80</v>
      </c>
      <c r="M26" s="44">
        <v>0</v>
      </c>
      <c r="N26" s="44">
        <v>10</v>
      </c>
      <c r="O26" s="44">
        <v>10</v>
      </c>
      <c r="P26" s="44">
        <v>60</v>
      </c>
      <c r="Q26" s="44">
        <v>45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5"/>
        <v>0</v>
      </c>
      <c r="F27" s="44">
        <v>125</v>
      </c>
      <c r="G27" s="44">
        <v>0</v>
      </c>
      <c r="H27" s="44">
        <v>0</v>
      </c>
      <c r="I27" s="44">
        <v>0</v>
      </c>
      <c r="J27" s="44">
        <v>0</v>
      </c>
      <c r="K27" s="44">
        <v>-150</v>
      </c>
      <c r="L27" s="44">
        <v>-247</v>
      </c>
      <c r="M27" s="44">
        <v>-247</v>
      </c>
      <c r="N27" s="44">
        <v>-247</v>
      </c>
      <c r="O27" s="44">
        <v>-130</v>
      </c>
      <c r="P27" s="44">
        <v>-160</v>
      </c>
      <c r="Q27" s="44">
        <v>-45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5"/>
        <v>1</v>
      </c>
      <c r="F28" s="44">
        <v>125</v>
      </c>
      <c r="G28" s="44">
        <v>0</v>
      </c>
      <c r="H28" s="44">
        <v>0</v>
      </c>
      <c r="I28" s="44">
        <v>0</v>
      </c>
      <c r="J28" s="44">
        <v>0</v>
      </c>
      <c r="K28" s="44">
        <v>-150</v>
      </c>
      <c r="L28" s="44">
        <v>-255</v>
      </c>
      <c r="M28" s="44">
        <v>-255</v>
      </c>
      <c r="N28" s="44">
        <v>-255</v>
      </c>
      <c r="O28" s="44">
        <v>-140</v>
      </c>
      <c r="P28" s="44">
        <v>-160</v>
      </c>
      <c r="Q28" s="44">
        <v>-45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S9:AB11 F13:G13 S13:AB13 F15:G17 S15:AB17 F19:G19 S19:AB19 F8:AB8 F12:AB12 F14:AB14 F18:AB18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R11" name="入力範囲_4_1_1_1_1_1_5"/>
    <protectedRange sqref="H13:R13" name="入力範囲_4_1_1_1_1_1_6"/>
    <protectedRange sqref="H15:R17" name="入力範囲_4_1_1_1_1_1_7"/>
    <protectedRange sqref="H19:R19" name="入力範囲_4_1_1_1_1_1_8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AB51"/>
  <sheetViews>
    <sheetView zoomScale="145" zoomScaleNormal="145" workbookViewId="0">
      <selection activeCell="L22" sqref="L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192</v>
      </c>
      <c r="M4" s="62">
        <f t="shared" si="0"/>
        <v>212</v>
      </c>
      <c r="N4" s="62">
        <f t="shared" si="0"/>
        <v>232</v>
      </c>
      <c r="O4" s="62">
        <f t="shared" si="0"/>
        <v>262</v>
      </c>
      <c r="P4" s="62">
        <f t="shared" si="0"/>
        <v>362</v>
      </c>
      <c r="Q4" s="62">
        <f t="shared" si="0"/>
        <v>462</v>
      </c>
      <c r="R4" s="62">
        <f t="shared" si="0"/>
        <v>562</v>
      </c>
      <c r="S4" s="62">
        <f t="shared" si="0"/>
        <v>662</v>
      </c>
      <c r="T4" s="62">
        <f t="shared" si="0"/>
        <v>762</v>
      </c>
      <c r="U4" s="62">
        <f t="shared" si="0"/>
        <v>772</v>
      </c>
      <c r="V4" s="62">
        <f t="shared" si="0"/>
        <v>774</v>
      </c>
      <c r="W4" s="62">
        <f t="shared" si="0"/>
        <v>776</v>
      </c>
      <c r="X4" s="62">
        <f t="shared" si="0"/>
        <v>801</v>
      </c>
      <c r="Y4" s="62">
        <f t="shared" si="0"/>
        <v>901</v>
      </c>
      <c r="Z4" s="62">
        <f t="shared" si="0"/>
        <v>1001</v>
      </c>
      <c r="AA4" s="62">
        <f t="shared" si="0"/>
        <v>1101</v>
      </c>
      <c r="AB4" s="62">
        <f t="shared" si="0"/>
        <v>1201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80</v>
      </c>
      <c r="L5" s="63">
        <v>20</v>
      </c>
      <c r="M5" s="63">
        <v>20</v>
      </c>
      <c r="N5" s="63">
        <v>30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5</v>
      </c>
      <c r="L8" s="38">
        <v>5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-3</v>
      </c>
      <c r="G9" s="38">
        <v>-5</v>
      </c>
      <c r="H9" s="38">
        <v>0</v>
      </c>
      <c r="I9" s="38">
        <v>0</v>
      </c>
      <c r="J9" s="38">
        <v>-10</v>
      </c>
      <c r="K9" s="38">
        <v>-10</v>
      </c>
      <c r="L9" s="38">
        <v>-10</v>
      </c>
      <c r="M9" s="38">
        <v>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2</v>
      </c>
      <c r="H10" s="38">
        <v>0</v>
      </c>
      <c r="I10" s="38">
        <v>0</v>
      </c>
      <c r="J10" s="38">
        <v>-30</v>
      </c>
      <c r="K10" s="38">
        <v>-30</v>
      </c>
      <c r="L10" s="38">
        <v>-25</v>
      </c>
      <c r="M10" s="38">
        <v>-30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-1</v>
      </c>
      <c r="H11" s="38">
        <v>0</v>
      </c>
      <c r="I11" s="38">
        <v>0</v>
      </c>
      <c r="J11" s="38">
        <v>-35</v>
      </c>
      <c r="K11" s="38">
        <v>-35</v>
      </c>
      <c r="L11" s="38">
        <v>-30</v>
      </c>
      <c r="M11" s="38">
        <v>-35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30</v>
      </c>
      <c r="L12" s="38">
        <v>30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-3</v>
      </c>
      <c r="G13" s="38">
        <v>13</v>
      </c>
      <c r="H13" s="38">
        <v>0</v>
      </c>
      <c r="I13" s="38">
        <v>0</v>
      </c>
      <c r="J13" s="38">
        <v>10</v>
      </c>
      <c r="K13" s="38">
        <v>5</v>
      </c>
      <c r="L13" s="38">
        <v>5</v>
      </c>
      <c r="M13" s="38">
        <v>-5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v>0</v>
      </c>
      <c r="K14" s="44">
        <v>5</v>
      </c>
      <c r="L14" s="44">
        <v>5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0</v>
      </c>
      <c r="F15" s="44">
        <v>0</v>
      </c>
      <c r="G15" s="44">
        <v>-10</v>
      </c>
      <c r="H15" s="44">
        <v>0</v>
      </c>
      <c r="I15" s="44">
        <v>0</v>
      </c>
      <c r="J15" s="44">
        <v>-10</v>
      </c>
      <c r="K15" s="44">
        <v>-10</v>
      </c>
      <c r="L15" s="44">
        <v>-10</v>
      </c>
      <c r="M15" s="44">
        <v>5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-2</v>
      </c>
      <c r="G16" s="44">
        <v>2</v>
      </c>
      <c r="H16" s="44">
        <v>0</v>
      </c>
      <c r="I16" s="44">
        <v>0</v>
      </c>
      <c r="J16" s="44">
        <v>-30</v>
      </c>
      <c r="K16" s="44">
        <v>-30</v>
      </c>
      <c r="L16" s="44">
        <v>-25</v>
      </c>
      <c r="M16" s="44">
        <v>-30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13</v>
      </c>
      <c r="G17" s="44">
        <v>-2</v>
      </c>
      <c r="H17" s="44">
        <v>0</v>
      </c>
      <c r="I17" s="44">
        <v>0</v>
      </c>
      <c r="J17" s="44">
        <v>-35</v>
      </c>
      <c r="K17" s="44">
        <v>-35</v>
      </c>
      <c r="L17" s="44">
        <v>-30</v>
      </c>
      <c r="M17" s="44">
        <v>-35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30</v>
      </c>
      <c r="L18" s="44">
        <v>30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3</v>
      </c>
      <c r="G19" s="44">
        <v>13</v>
      </c>
      <c r="H19" s="44">
        <v>0</v>
      </c>
      <c r="I19" s="44">
        <v>0</v>
      </c>
      <c r="J19" s="44">
        <v>10</v>
      </c>
      <c r="K19" s="44">
        <v>5</v>
      </c>
      <c r="L19" s="44">
        <v>5</v>
      </c>
      <c r="M19" s="44">
        <v>-5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10</v>
      </c>
      <c r="K21" s="38">
        <v>0</v>
      </c>
      <c r="L21" s="38">
        <v>-15</v>
      </c>
      <c r="M21" s="38">
        <v>-20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10</v>
      </c>
      <c r="M22" s="38">
        <v>20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-120</v>
      </c>
      <c r="L23" s="38">
        <v>-110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-130</v>
      </c>
      <c r="L24" s="38">
        <v>-120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2">IF(E21=0,1,0)</f>
        <v>1</v>
      </c>
      <c r="F25" s="44">
        <v>50</v>
      </c>
      <c r="G25" s="44">
        <v>0</v>
      </c>
      <c r="H25" s="44">
        <v>0</v>
      </c>
      <c r="I25" s="44">
        <v>0</v>
      </c>
      <c r="J25" s="44">
        <f>J21</f>
        <v>10</v>
      </c>
      <c r="K25" s="44">
        <f t="shared" ref="K25:N25" si="3">K21</f>
        <v>0</v>
      </c>
      <c r="L25" s="44">
        <f t="shared" si="3"/>
        <v>-15</v>
      </c>
      <c r="M25" s="44">
        <f t="shared" si="3"/>
        <v>-20</v>
      </c>
      <c r="N25" s="44">
        <f t="shared" si="3"/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2"/>
        <v>1</v>
      </c>
      <c r="F26" s="44">
        <v>2</v>
      </c>
      <c r="G26" s="44">
        <v>0</v>
      </c>
      <c r="H26" s="44">
        <v>0</v>
      </c>
      <c r="I26" s="44">
        <v>0</v>
      </c>
      <c r="J26" s="44">
        <f t="shared" ref="J26:N26" si="4">J22</f>
        <v>0</v>
      </c>
      <c r="K26" s="44">
        <f t="shared" si="4"/>
        <v>0</v>
      </c>
      <c r="L26" s="44">
        <f t="shared" si="4"/>
        <v>10</v>
      </c>
      <c r="M26" s="44">
        <f t="shared" si="4"/>
        <v>20</v>
      </c>
      <c r="N26" s="44">
        <f t="shared" si="4"/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125</v>
      </c>
      <c r="G27" s="44">
        <v>0</v>
      </c>
      <c r="H27" s="44">
        <v>0</v>
      </c>
      <c r="I27" s="44">
        <v>0</v>
      </c>
      <c r="J27" s="44">
        <f t="shared" ref="J27:N27" si="5">J23</f>
        <v>0</v>
      </c>
      <c r="K27" s="44">
        <f t="shared" si="5"/>
        <v>-120</v>
      </c>
      <c r="L27" s="44">
        <f t="shared" si="5"/>
        <v>-110</v>
      </c>
      <c r="M27" s="44">
        <f t="shared" si="5"/>
        <v>0</v>
      </c>
      <c r="N27" s="44">
        <f t="shared" si="5"/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125</v>
      </c>
      <c r="G28" s="44">
        <v>0</v>
      </c>
      <c r="H28" s="44">
        <v>0</v>
      </c>
      <c r="I28" s="44">
        <v>0</v>
      </c>
      <c r="J28" s="44">
        <f t="shared" ref="J28:N28" si="6">J24</f>
        <v>0</v>
      </c>
      <c r="K28" s="44">
        <f t="shared" si="6"/>
        <v>-130</v>
      </c>
      <c r="L28" s="44">
        <f t="shared" si="6"/>
        <v>-120</v>
      </c>
      <c r="M28" s="44">
        <f t="shared" si="6"/>
        <v>0</v>
      </c>
      <c r="N28" s="44">
        <f t="shared" si="6"/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8 F12:AB12 F9:G11 O9:AB11 F13:G13 O13:AB13 F14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N11" name="入力範囲_4_1_1_1_1_1_2"/>
    <protectedRange sqref="H13:N13" name="入力範囲_4_1_1_1_1_1_3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zoomScale="145" zoomScaleNormal="145" workbookViewId="0">
      <selection activeCell="A3" sqref="A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>
        <v>0</v>
      </c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10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5</v>
      </c>
      <c r="J4" s="62">
        <f t="shared" ref="J4:AB4" si="0">I4+I5+I6</f>
        <v>20</v>
      </c>
      <c r="K4" s="62">
        <f t="shared" si="0"/>
        <v>40</v>
      </c>
      <c r="L4" s="62">
        <f t="shared" si="0"/>
        <v>50</v>
      </c>
      <c r="M4" s="62">
        <f t="shared" si="0"/>
        <v>80</v>
      </c>
      <c r="N4" s="62">
        <f t="shared" si="0"/>
        <v>110</v>
      </c>
      <c r="O4" s="62">
        <f t="shared" si="0"/>
        <v>120</v>
      </c>
      <c r="P4" s="62">
        <f t="shared" si="0"/>
        <v>130</v>
      </c>
      <c r="Q4" s="62">
        <f t="shared" si="0"/>
        <v>140</v>
      </c>
      <c r="R4" s="62">
        <f t="shared" si="0"/>
        <v>150</v>
      </c>
      <c r="S4" s="62">
        <f t="shared" si="0"/>
        <v>160</v>
      </c>
      <c r="T4" s="62">
        <f t="shared" si="0"/>
        <v>170</v>
      </c>
      <c r="U4" s="62">
        <f t="shared" si="0"/>
        <v>180</v>
      </c>
      <c r="V4" s="62">
        <f t="shared" si="0"/>
        <v>182</v>
      </c>
      <c r="W4" s="62">
        <f t="shared" si="0"/>
        <v>184</v>
      </c>
      <c r="X4" s="62">
        <f t="shared" si="0"/>
        <v>209</v>
      </c>
      <c r="Y4" s="62">
        <f t="shared" si="0"/>
        <v>309</v>
      </c>
      <c r="Z4" s="62">
        <f t="shared" si="0"/>
        <v>409</v>
      </c>
      <c r="AA4" s="62">
        <f t="shared" si="0"/>
        <v>509</v>
      </c>
      <c r="AB4" s="62">
        <f t="shared" si="0"/>
        <v>609</v>
      </c>
    </row>
    <row r="5" spans="1:28">
      <c r="A5" s="19"/>
      <c r="B5" s="14"/>
      <c r="C5" s="19"/>
      <c r="D5" s="19"/>
      <c r="F5" s="19"/>
      <c r="G5" s="25" t="s">
        <v>2</v>
      </c>
      <c r="H5" s="63">
        <v>5</v>
      </c>
      <c r="I5" s="63">
        <v>15</v>
      </c>
      <c r="J5" s="63">
        <v>0</v>
      </c>
      <c r="K5" s="63">
        <v>10</v>
      </c>
      <c r="L5" s="63">
        <v>30</v>
      </c>
      <c r="M5" s="63">
        <v>30</v>
      </c>
      <c r="N5" s="63">
        <v>10</v>
      </c>
      <c r="O5" s="63">
        <v>10</v>
      </c>
      <c r="P5" s="63">
        <v>10</v>
      </c>
      <c r="Q5" s="63">
        <v>10</v>
      </c>
      <c r="R5" s="63">
        <v>10</v>
      </c>
      <c r="S5" s="63">
        <v>10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1</v>
      </c>
      <c r="I7" s="33">
        <v>0</v>
      </c>
      <c r="J7" s="33">
        <v>0</v>
      </c>
      <c r="K7" s="33">
        <v>2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-3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0</v>
      </c>
      <c r="F9" s="38">
        <v>-3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9</v>
      </c>
      <c r="G10" s="38">
        <v>0</v>
      </c>
      <c r="H10" s="38">
        <v>0</v>
      </c>
      <c r="I10" s="38">
        <v>-30</v>
      </c>
      <c r="J10" s="38">
        <v>30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16</v>
      </c>
      <c r="G11" s="38">
        <v>0</v>
      </c>
      <c r="H11" s="38">
        <v>0</v>
      </c>
      <c r="I11" s="38">
        <v>-35</v>
      </c>
      <c r="J11" s="38">
        <v>30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8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-3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1</v>
      </c>
      <c r="F15" s="44">
        <v>-3</v>
      </c>
      <c r="G15" s="44">
        <v>0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-4</v>
      </c>
      <c r="G16" s="44">
        <v>0</v>
      </c>
      <c r="H16" s="44">
        <v>0</v>
      </c>
      <c r="I16" s="44">
        <v>-30</v>
      </c>
      <c r="J16" s="44">
        <v>30</v>
      </c>
      <c r="K16" s="44">
        <v>0</v>
      </c>
      <c r="L16" s="44">
        <v>0</v>
      </c>
      <c r="M16" s="44">
        <v>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11</v>
      </c>
      <c r="G17" s="44">
        <v>0</v>
      </c>
      <c r="H17" s="44">
        <v>0</v>
      </c>
      <c r="I17" s="44">
        <v>-35</v>
      </c>
      <c r="J17" s="44">
        <v>30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4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130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130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v>0</v>
      </c>
      <c r="F25" s="44">
        <v>-50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130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130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A1:AB51"/>
  <sheetViews>
    <sheetView tabSelected="1" zoomScale="145" zoomScaleNormal="145" workbookViewId="0">
      <selection activeCell="I10" sqref="I1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12</v>
      </c>
      <c r="K4" s="62">
        <f t="shared" si="0"/>
        <v>20</v>
      </c>
      <c r="L4" s="62">
        <f t="shared" si="0"/>
        <v>28</v>
      </c>
      <c r="M4" s="62">
        <f t="shared" si="0"/>
        <v>32</v>
      </c>
      <c r="N4" s="62">
        <f t="shared" si="0"/>
        <v>38</v>
      </c>
      <c r="O4" s="62">
        <f t="shared" si="0"/>
        <v>47</v>
      </c>
      <c r="P4" s="62">
        <f t="shared" si="0"/>
        <v>51</v>
      </c>
      <c r="Q4" s="62">
        <f t="shared" si="0"/>
        <v>57</v>
      </c>
      <c r="R4" s="62">
        <f t="shared" si="0"/>
        <v>66</v>
      </c>
      <c r="S4" s="62">
        <f t="shared" si="0"/>
        <v>81</v>
      </c>
      <c r="T4" s="62">
        <f t="shared" si="0"/>
        <v>91</v>
      </c>
      <c r="U4" s="62">
        <f t="shared" si="0"/>
        <v>93</v>
      </c>
      <c r="V4" s="62">
        <f t="shared" si="0"/>
        <v>95</v>
      </c>
      <c r="W4" s="62">
        <f t="shared" si="0"/>
        <v>97</v>
      </c>
      <c r="X4" s="62">
        <f t="shared" si="0"/>
        <v>122</v>
      </c>
      <c r="Y4" s="62">
        <f t="shared" si="0"/>
        <v>222</v>
      </c>
      <c r="Z4" s="62">
        <f t="shared" si="0"/>
        <v>322</v>
      </c>
      <c r="AA4" s="62">
        <f t="shared" si="0"/>
        <v>422</v>
      </c>
      <c r="AB4" s="62">
        <f t="shared" si="0"/>
        <v>522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</v>
      </c>
      <c r="J5" s="63">
        <v>8</v>
      </c>
      <c r="K5" s="63">
        <v>0</v>
      </c>
      <c r="L5" s="63">
        <v>4</v>
      </c>
      <c r="M5" s="63">
        <v>6</v>
      </c>
      <c r="N5" s="63">
        <v>0</v>
      </c>
      <c r="O5" s="63">
        <f>L5</f>
        <v>4</v>
      </c>
      <c r="P5" s="63">
        <f t="shared" ref="P5:Q6" si="1">M5</f>
        <v>6</v>
      </c>
      <c r="Q5" s="63">
        <f t="shared" si="1"/>
        <v>0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8</v>
      </c>
      <c r="L6" s="63">
        <v>0</v>
      </c>
      <c r="M6" s="63">
        <v>0</v>
      </c>
      <c r="N6" s="63">
        <v>9</v>
      </c>
      <c r="O6" s="63">
        <f>L6</f>
        <v>0</v>
      </c>
      <c r="P6" s="63">
        <f t="shared" si="1"/>
        <v>0</v>
      </c>
      <c r="Q6" s="63">
        <f t="shared" si="1"/>
        <v>9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0</v>
      </c>
      <c r="G8" s="38">
        <v>0</v>
      </c>
      <c r="H8" s="38">
        <v>0</v>
      </c>
      <c r="I8" s="38">
        <v>0</v>
      </c>
      <c r="J8" s="38">
        <f>J29+$I29</f>
        <v>0</v>
      </c>
      <c r="K8" s="38">
        <f t="shared" ref="K8:S8" si="2">K29+$I29</f>
        <v>0</v>
      </c>
      <c r="L8" s="38">
        <f t="shared" si="2"/>
        <v>0</v>
      </c>
      <c r="M8" s="38">
        <f t="shared" si="2"/>
        <v>0</v>
      </c>
      <c r="N8" s="38">
        <f t="shared" si="2"/>
        <v>0</v>
      </c>
      <c r="O8" s="38">
        <f t="shared" si="2"/>
        <v>0</v>
      </c>
      <c r="P8" s="38">
        <f t="shared" si="2"/>
        <v>0</v>
      </c>
      <c r="Q8" s="38">
        <f t="shared" si="2"/>
        <v>0</v>
      </c>
      <c r="R8" s="38">
        <f t="shared" si="2"/>
        <v>0</v>
      </c>
      <c r="S8" s="38">
        <f t="shared" si="2"/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-3</v>
      </c>
      <c r="G9" s="38">
        <v>-3</v>
      </c>
      <c r="H9" s="38">
        <v>0</v>
      </c>
      <c r="I9" s="38">
        <v>0</v>
      </c>
      <c r="J9" s="38">
        <v>20</v>
      </c>
      <c r="K9" s="38">
        <f t="shared" ref="K9:S9" si="3">K30+$I30</f>
        <v>7</v>
      </c>
      <c r="L9" s="38">
        <f t="shared" si="3"/>
        <v>7</v>
      </c>
      <c r="M9" s="38">
        <f t="shared" si="3"/>
        <v>-3</v>
      </c>
      <c r="N9" s="38">
        <f t="shared" si="3"/>
        <v>-3</v>
      </c>
      <c r="O9" s="38">
        <f t="shared" si="3"/>
        <v>2</v>
      </c>
      <c r="P9" s="38">
        <f t="shared" si="3"/>
        <v>2</v>
      </c>
      <c r="Q9" s="38">
        <f t="shared" si="3"/>
        <v>10</v>
      </c>
      <c r="R9" s="38">
        <f t="shared" si="3"/>
        <v>7</v>
      </c>
      <c r="S9" s="38">
        <f t="shared" si="3"/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5</v>
      </c>
      <c r="G10" s="38">
        <v>4</v>
      </c>
      <c r="H10" s="38">
        <v>0</v>
      </c>
      <c r="I10" s="38">
        <v>0</v>
      </c>
      <c r="J10" s="38">
        <v>-12</v>
      </c>
      <c r="K10" s="38">
        <v>-6</v>
      </c>
      <c r="L10" s="38">
        <f t="shared" ref="L10:S10" si="4">L31+$I31</f>
        <v>-3</v>
      </c>
      <c r="M10" s="38">
        <f t="shared" si="4"/>
        <v>-6</v>
      </c>
      <c r="N10" s="38">
        <v>-30</v>
      </c>
      <c r="O10" s="38">
        <f t="shared" si="4"/>
        <v>19</v>
      </c>
      <c r="P10" s="38">
        <f t="shared" si="4"/>
        <v>4</v>
      </c>
      <c r="Q10" s="38">
        <f t="shared" si="4"/>
        <v>4</v>
      </c>
      <c r="R10" s="38">
        <f t="shared" si="4"/>
        <v>49</v>
      </c>
      <c r="S10" s="38">
        <f t="shared" si="4"/>
        <v>-6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12</v>
      </c>
      <c r="G11" s="38">
        <v>1</v>
      </c>
      <c r="H11" s="38">
        <v>0</v>
      </c>
      <c r="I11" s="38">
        <v>0</v>
      </c>
      <c r="J11" s="38">
        <v>6</v>
      </c>
      <c r="K11" s="38">
        <v>12</v>
      </c>
      <c r="L11" s="38">
        <f t="shared" ref="L11:S11" si="5">L32+$I32</f>
        <v>16</v>
      </c>
      <c r="M11" s="38">
        <f t="shared" si="5"/>
        <v>28</v>
      </c>
      <c r="N11" s="38">
        <v>-35</v>
      </c>
      <c r="O11" s="38">
        <f t="shared" si="5"/>
        <v>-14</v>
      </c>
      <c r="P11" s="38">
        <f t="shared" si="5"/>
        <v>-9</v>
      </c>
      <c r="Q11" s="38">
        <f t="shared" si="5"/>
        <v>6</v>
      </c>
      <c r="R11" s="38">
        <f t="shared" si="5"/>
        <v>-24</v>
      </c>
      <c r="S11" s="38">
        <f t="shared" si="5"/>
        <v>-14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f t="shared" ref="J12:J18" si="6">J33+$I33</f>
        <v>0</v>
      </c>
      <c r="K12" s="38">
        <f t="shared" ref="K12:S12" si="7">K33+$I33</f>
        <v>0</v>
      </c>
      <c r="L12" s="38">
        <f t="shared" si="7"/>
        <v>0</v>
      </c>
      <c r="M12" s="38">
        <f t="shared" si="7"/>
        <v>0</v>
      </c>
      <c r="N12" s="38">
        <f t="shared" si="7"/>
        <v>0</v>
      </c>
      <c r="O12" s="38">
        <f t="shared" si="7"/>
        <v>0</v>
      </c>
      <c r="P12" s="38">
        <f t="shared" si="7"/>
        <v>0</v>
      </c>
      <c r="Q12" s="38">
        <f t="shared" si="7"/>
        <v>0</v>
      </c>
      <c r="R12" s="38">
        <f t="shared" si="7"/>
        <v>0</v>
      </c>
      <c r="S12" s="38">
        <f t="shared" si="7"/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-3</v>
      </c>
      <c r="G13" s="38">
        <v>13</v>
      </c>
      <c r="H13" s="38">
        <v>0</v>
      </c>
      <c r="I13" s="38">
        <v>0</v>
      </c>
      <c r="J13" s="38">
        <v>-10</v>
      </c>
      <c r="K13" s="38">
        <f t="shared" ref="K13:S13" si="8">K34+$I34</f>
        <v>-7</v>
      </c>
      <c r="L13" s="38">
        <f t="shared" si="8"/>
        <v>-7</v>
      </c>
      <c r="M13" s="38">
        <f t="shared" si="8"/>
        <v>-12</v>
      </c>
      <c r="N13" s="38">
        <f t="shared" si="8"/>
        <v>5</v>
      </c>
      <c r="O13" s="38">
        <f t="shared" si="8"/>
        <v>3</v>
      </c>
      <c r="P13" s="38">
        <f t="shared" si="8"/>
        <v>0</v>
      </c>
      <c r="Q13" s="38">
        <f t="shared" si="8"/>
        <v>-7</v>
      </c>
      <c r="R13" s="38">
        <f t="shared" si="8"/>
        <v>-7</v>
      </c>
      <c r="S13" s="38">
        <f t="shared" si="8"/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0</v>
      </c>
      <c r="G14" s="44">
        <v>0</v>
      </c>
      <c r="H14" s="44">
        <v>0</v>
      </c>
      <c r="I14" s="44">
        <v>0</v>
      </c>
      <c r="J14" s="44">
        <f t="shared" si="6"/>
        <v>0</v>
      </c>
      <c r="K14" s="44">
        <f t="shared" ref="K14:S14" si="9">K35+$I35</f>
        <v>0</v>
      </c>
      <c r="L14" s="44">
        <f t="shared" si="9"/>
        <v>0</v>
      </c>
      <c r="M14" s="44">
        <f t="shared" si="9"/>
        <v>0</v>
      </c>
      <c r="N14" s="44">
        <f t="shared" si="9"/>
        <v>0</v>
      </c>
      <c r="O14" s="44">
        <f t="shared" si="9"/>
        <v>0</v>
      </c>
      <c r="P14" s="44">
        <f t="shared" si="9"/>
        <v>0</v>
      </c>
      <c r="Q14" s="44">
        <f t="shared" si="9"/>
        <v>0</v>
      </c>
      <c r="R14" s="44">
        <f t="shared" si="9"/>
        <v>0</v>
      </c>
      <c r="S14" s="44">
        <f t="shared" si="9"/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0">IF(E9=0,1,0)</f>
        <v>0</v>
      </c>
      <c r="F15" s="44">
        <v>0</v>
      </c>
      <c r="G15" s="44">
        <v>-3</v>
      </c>
      <c r="H15" s="44">
        <v>0</v>
      </c>
      <c r="I15" s="44">
        <v>0</v>
      </c>
      <c r="J15" s="44">
        <v>-20</v>
      </c>
      <c r="K15" s="44">
        <f t="shared" ref="K15:S15" si="11">K36+$I36</f>
        <v>-3</v>
      </c>
      <c r="L15" s="44">
        <f t="shared" si="11"/>
        <v>2</v>
      </c>
      <c r="M15" s="44">
        <f t="shared" si="11"/>
        <v>2</v>
      </c>
      <c r="N15" s="44">
        <f t="shared" si="11"/>
        <v>10</v>
      </c>
      <c r="O15" s="44">
        <f t="shared" si="11"/>
        <v>7</v>
      </c>
      <c r="P15" s="44">
        <f t="shared" si="11"/>
        <v>-3</v>
      </c>
      <c r="Q15" s="44">
        <f t="shared" si="11"/>
        <v>-3</v>
      </c>
      <c r="R15" s="44">
        <f t="shared" si="11"/>
        <v>2</v>
      </c>
      <c r="S15" s="44">
        <f t="shared" si="11"/>
        <v>2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0"/>
        <v>0</v>
      </c>
      <c r="F16" s="44">
        <v>-2</v>
      </c>
      <c r="G16" s="44">
        <v>4</v>
      </c>
      <c r="H16" s="44">
        <v>0</v>
      </c>
      <c r="I16" s="44">
        <v>0</v>
      </c>
      <c r="J16" s="44">
        <v>12</v>
      </c>
      <c r="K16" s="44">
        <v>-30</v>
      </c>
      <c r="L16" s="44">
        <f t="shared" ref="L16:S16" si="12">L37+$I37</f>
        <v>19</v>
      </c>
      <c r="M16" s="44">
        <f t="shared" si="12"/>
        <v>4</v>
      </c>
      <c r="N16" s="44">
        <f t="shared" si="12"/>
        <v>4</v>
      </c>
      <c r="O16" s="44">
        <f t="shared" si="12"/>
        <v>-3</v>
      </c>
      <c r="P16" s="44">
        <f t="shared" si="12"/>
        <v>-6</v>
      </c>
      <c r="Q16" s="44">
        <f t="shared" si="12"/>
        <v>-28</v>
      </c>
      <c r="R16" s="44">
        <f t="shared" si="12"/>
        <v>19</v>
      </c>
      <c r="S16" s="44">
        <f t="shared" si="12"/>
        <v>4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0"/>
        <v>1</v>
      </c>
      <c r="F17" s="44">
        <v>13</v>
      </c>
      <c r="G17" s="44">
        <v>0</v>
      </c>
      <c r="H17" s="44">
        <v>0</v>
      </c>
      <c r="I17" s="44">
        <v>0</v>
      </c>
      <c r="J17" s="44">
        <v>23</v>
      </c>
      <c r="K17" s="44">
        <v>-30</v>
      </c>
      <c r="L17" s="44">
        <f t="shared" ref="L17:S17" si="13">L38+$I38</f>
        <v>-14</v>
      </c>
      <c r="M17" s="44">
        <f t="shared" si="13"/>
        <v>-9</v>
      </c>
      <c r="N17" s="44">
        <f t="shared" si="13"/>
        <v>6</v>
      </c>
      <c r="O17" s="44">
        <f t="shared" si="13"/>
        <v>16</v>
      </c>
      <c r="P17" s="44">
        <f t="shared" si="13"/>
        <v>28</v>
      </c>
      <c r="Q17" s="44">
        <f t="shared" si="13"/>
        <v>-32</v>
      </c>
      <c r="R17" s="44">
        <f t="shared" si="13"/>
        <v>-14</v>
      </c>
      <c r="S17" s="44">
        <f t="shared" si="13"/>
        <v>-9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0"/>
        <v>1</v>
      </c>
      <c r="F18" s="44">
        <v>0</v>
      </c>
      <c r="G18" s="44">
        <v>0</v>
      </c>
      <c r="H18" s="44">
        <v>0</v>
      </c>
      <c r="I18" s="44">
        <v>0</v>
      </c>
      <c r="J18" s="44">
        <f t="shared" si="6"/>
        <v>0</v>
      </c>
      <c r="K18" s="44">
        <f t="shared" ref="K18:S18" si="14">K39+$I39</f>
        <v>0</v>
      </c>
      <c r="L18" s="44">
        <f t="shared" si="14"/>
        <v>0</v>
      </c>
      <c r="M18" s="44">
        <f t="shared" si="14"/>
        <v>0</v>
      </c>
      <c r="N18" s="44">
        <f t="shared" si="14"/>
        <v>0</v>
      </c>
      <c r="O18" s="44">
        <f t="shared" si="14"/>
        <v>0</v>
      </c>
      <c r="P18" s="44">
        <f t="shared" si="14"/>
        <v>0</v>
      </c>
      <c r="Q18" s="44">
        <f t="shared" si="14"/>
        <v>0</v>
      </c>
      <c r="R18" s="44">
        <f t="shared" si="14"/>
        <v>0</v>
      </c>
      <c r="S18" s="44">
        <f t="shared" si="14"/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3</v>
      </c>
      <c r="G19" s="44">
        <v>8</v>
      </c>
      <c r="H19" s="44">
        <v>0</v>
      </c>
      <c r="I19" s="44">
        <v>0</v>
      </c>
      <c r="J19" s="44">
        <v>15</v>
      </c>
      <c r="K19" s="44">
        <f t="shared" ref="K19:S19" si="15">K40+$I40</f>
        <v>5</v>
      </c>
      <c r="L19" s="44">
        <f t="shared" si="15"/>
        <v>3</v>
      </c>
      <c r="M19" s="44">
        <f t="shared" si="15"/>
        <v>0</v>
      </c>
      <c r="N19" s="44">
        <f t="shared" si="15"/>
        <v>-7</v>
      </c>
      <c r="O19" s="44">
        <f t="shared" si="15"/>
        <v>-7</v>
      </c>
      <c r="P19" s="44">
        <f t="shared" si="15"/>
        <v>-12</v>
      </c>
      <c r="Q19" s="44">
        <f t="shared" si="15"/>
        <v>5</v>
      </c>
      <c r="R19" s="44">
        <f t="shared" si="15"/>
        <v>3</v>
      </c>
      <c r="S19" s="44">
        <f t="shared" si="15"/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-4</v>
      </c>
      <c r="K20" s="51">
        <v>-8</v>
      </c>
      <c r="L20" s="51">
        <v>-3</v>
      </c>
      <c r="M20" s="51">
        <v>6</v>
      </c>
      <c r="N20" s="51">
        <v>-3</v>
      </c>
      <c r="O20" s="51">
        <f>-L20</f>
        <v>3</v>
      </c>
      <c r="P20" s="51">
        <f t="shared" ref="P20:Q20" si="16">-M20</f>
        <v>-6</v>
      </c>
      <c r="Q20" s="51">
        <f t="shared" si="16"/>
        <v>3</v>
      </c>
      <c r="R20" s="51">
        <f t="shared" ref="L20:S20" si="17">R41+$I41</f>
        <v>0</v>
      </c>
      <c r="S20" s="51">
        <f t="shared" si="17"/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18">IF(E21=0,1,0)</f>
        <v>1</v>
      </c>
      <c r="F25" s="44">
        <v>50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18"/>
        <v>1</v>
      </c>
      <c r="F26" s="44">
        <v>2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18"/>
        <v>0</v>
      </c>
      <c r="F27" s="44">
        <v>125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18"/>
        <v>1</v>
      </c>
      <c r="F28" s="44">
        <v>125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93"/>
      <c r="B29" s="93"/>
      <c r="C29" s="93"/>
      <c r="D29" s="94"/>
      <c r="E29" s="93"/>
      <c r="F29" s="94"/>
      <c r="G29" s="94"/>
      <c r="H29" s="94"/>
      <c r="I29" s="94"/>
      <c r="J29" s="38">
        <f>J50+I50</f>
        <v>0</v>
      </c>
      <c r="K29" s="38">
        <f t="shared" ref="K29" si="19">K50+J50</f>
        <v>0</v>
      </c>
      <c r="L29" s="38">
        <f t="shared" ref="L29" si="20">L50+K50</f>
        <v>0</v>
      </c>
      <c r="M29" s="38">
        <f t="shared" ref="M29" si="21">M50+L50</f>
        <v>0</v>
      </c>
      <c r="N29" s="38">
        <f t="shared" ref="N29" si="22">N50+M50</f>
        <v>0</v>
      </c>
      <c r="O29" s="38">
        <f t="shared" ref="O29" si="23">O50+N50</f>
        <v>0</v>
      </c>
      <c r="P29" s="38">
        <f t="shared" ref="P29" si="24">P50+O50</f>
        <v>0</v>
      </c>
      <c r="Q29" s="38">
        <f t="shared" ref="Q29" si="25">Q50+P50</f>
        <v>0</v>
      </c>
      <c r="R29" s="38">
        <f t="shared" ref="R29" si="26">R50+Q50</f>
        <v>0</v>
      </c>
      <c r="S29" s="38">
        <f t="shared" ref="S29" si="27">S50+R50</f>
        <v>0</v>
      </c>
      <c r="T29" s="95"/>
      <c r="U29" s="68"/>
      <c r="V29" s="68"/>
      <c r="W29" s="68"/>
      <c r="X29" s="68"/>
      <c r="Y29" s="68"/>
      <c r="Z29" s="68"/>
    </row>
    <row r="30" spans="1:28">
      <c r="A30" s="93"/>
      <c r="B30" s="93"/>
      <c r="C30" s="93"/>
      <c r="D30" s="94"/>
      <c r="E30" s="93"/>
      <c r="F30" s="94"/>
      <c r="G30" s="94"/>
      <c r="H30" s="94"/>
      <c r="I30" s="94"/>
      <c r="J30" s="38">
        <v>25</v>
      </c>
      <c r="K30" s="38">
        <v>7</v>
      </c>
      <c r="L30" s="38">
        <v>7</v>
      </c>
      <c r="M30" s="38">
        <v>-3</v>
      </c>
      <c r="N30" s="38">
        <v>-3</v>
      </c>
      <c r="O30" s="38">
        <v>2</v>
      </c>
      <c r="P30" s="38">
        <v>2</v>
      </c>
      <c r="Q30" s="38">
        <v>10</v>
      </c>
      <c r="R30" s="38">
        <v>7</v>
      </c>
      <c r="S30" s="38">
        <v>0</v>
      </c>
      <c r="T30" s="95"/>
      <c r="U30" s="68"/>
      <c r="V30" s="68"/>
      <c r="W30" s="68"/>
      <c r="X30" s="68"/>
      <c r="Y30" s="68"/>
      <c r="Z30" s="68"/>
    </row>
    <row r="31" spans="1:28">
      <c r="A31" s="93"/>
      <c r="B31" s="93"/>
      <c r="C31" s="93"/>
      <c r="D31" s="94"/>
      <c r="E31" s="94"/>
      <c r="F31" s="94"/>
      <c r="G31" s="94"/>
      <c r="H31" s="94"/>
      <c r="I31" s="96">
        <v>9</v>
      </c>
      <c r="J31" s="38">
        <v>-20</v>
      </c>
      <c r="K31" s="38">
        <v>-12</v>
      </c>
      <c r="L31" s="38">
        <v>-12</v>
      </c>
      <c r="M31" s="38">
        <v>-15</v>
      </c>
      <c r="N31" s="38">
        <v>-37</v>
      </c>
      <c r="O31" s="38">
        <v>10</v>
      </c>
      <c r="P31" s="38">
        <v>-5</v>
      </c>
      <c r="Q31" s="38">
        <v>-5</v>
      </c>
      <c r="R31" s="38">
        <v>40</v>
      </c>
      <c r="S31" s="38">
        <v>-15</v>
      </c>
      <c r="T31" s="95"/>
      <c r="U31" s="68"/>
      <c r="V31" s="68"/>
      <c r="W31" s="68"/>
      <c r="X31" s="68"/>
      <c r="Y31" s="68"/>
      <c r="Z31" s="68"/>
    </row>
    <row r="32" spans="1:28">
      <c r="A32" s="93"/>
      <c r="B32" s="93"/>
      <c r="C32" s="93"/>
      <c r="D32" s="94"/>
      <c r="E32" s="94"/>
      <c r="F32" s="94"/>
      <c r="G32" s="94"/>
      <c r="H32" s="94"/>
      <c r="I32" s="96">
        <f>-I31</f>
        <v>-9</v>
      </c>
      <c r="J32" s="38">
        <v>30</v>
      </c>
      <c r="K32" s="38">
        <v>25</v>
      </c>
      <c r="L32" s="38">
        <v>25</v>
      </c>
      <c r="M32" s="38">
        <v>37</v>
      </c>
      <c r="N32" s="38">
        <v>-23</v>
      </c>
      <c r="O32" s="38">
        <v>-5</v>
      </c>
      <c r="P32" s="38">
        <v>0</v>
      </c>
      <c r="Q32" s="38">
        <v>15</v>
      </c>
      <c r="R32" s="38">
        <v>-15</v>
      </c>
      <c r="S32" s="38">
        <v>-5</v>
      </c>
      <c r="T32" s="95"/>
      <c r="U32" s="68"/>
      <c r="V32" s="68"/>
      <c r="W32" s="68"/>
      <c r="X32" s="68"/>
      <c r="Y32" s="68"/>
      <c r="Z32" s="68"/>
    </row>
    <row r="33" spans="1:26">
      <c r="A33" s="93"/>
      <c r="B33" s="93"/>
      <c r="C33" s="93"/>
      <c r="D33" s="94"/>
      <c r="E33" s="94"/>
      <c r="F33" s="94"/>
      <c r="G33" s="94"/>
      <c r="H33" s="94"/>
      <c r="I33" s="94"/>
      <c r="J33" s="38">
        <v>0</v>
      </c>
      <c r="K33" s="38">
        <v>0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v>0</v>
      </c>
      <c r="S33" s="38">
        <v>0</v>
      </c>
      <c r="T33" s="95"/>
      <c r="U33" s="68"/>
      <c r="V33" s="68"/>
      <c r="W33" s="68"/>
      <c r="X33" s="68"/>
      <c r="Y33" s="68"/>
      <c r="Z33" s="68"/>
    </row>
    <row r="34" spans="1:26">
      <c r="A34" s="93"/>
      <c r="B34" s="93"/>
      <c r="C34" s="93"/>
      <c r="D34" s="94"/>
      <c r="E34" s="94"/>
      <c r="F34" s="94"/>
      <c r="G34" s="94"/>
      <c r="H34" s="94"/>
      <c r="I34" s="94"/>
      <c r="J34" s="38">
        <v>-20</v>
      </c>
      <c r="K34" s="38">
        <v>-7</v>
      </c>
      <c r="L34" s="38">
        <v>-7</v>
      </c>
      <c r="M34" s="38">
        <v>-12</v>
      </c>
      <c r="N34" s="38">
        <v>5</v>
      </c>
      <c r="O34" s="38">
        <v>3</v>
      </c>
      <c r="P34" s="38">
        <v>0</v>
      </c>
      <c r="Q34" s="38">
        <v>-7</v>
      </c>
      <c r="R34" s="38">
        <v>-7</v>
      </c>
      <c r="S34" s="38">
        <v>0</v>
      </c>
      <c r="T34" s="95"/>
      <c r="U34" s="68"/>
      <c r="V34" s="68"/>
      <c r="W34" s="68"/>
      <c r="X34" s="68"/>
      <c r="Y34" s="68"/>
      <c r="Z34" s="68"/>
    </row>
    <row r="35" spans="1:26">
      <c r="A35" s="93"/>
      <c r="B35" s="93"/>
      <c r="C35" s="93"/>
      <c r="D35" s="94"/>
      <c r="E35" s="94"/>
      <c r="F35" s="94"/>
      <c r="G35" s="94"/>
      <c r="H35" s="94"/>
      <c r="I35" s="94"/>
      <c r="J35" s="44">
        <f t="shared" ref="J35" si="28">J56+I56</f>
        <v>0</v>
      </c>
      <c r="K35" s="44">
        <f t="shared" ref="K35" si="29">K56+J56</f>
        <v>0</v>
      </c>
      <c r="L35" s="44">
        <f t="shared" ref="L35" si="30">L56+K56</f>
        <v>0</v>
      </c>
      <c r="M35" s="44">
        <f t="shared" ref="M35" si="31">M56+L56</f>
        <v>0</v>
      </c>
      <c r="N35" s="44">
        <f t="shared" ref="N35" si="32">N56+M56</f>
        <v>0</v>
      </c>
      <c r="O35" s="44">
        <f>L29</f>
        <v>0</v>
      </c>
      <c r="P35" s="44">
        <f t="shared" ref="P35:S40" si="33">M29</f>
        <v>0</v>
      </c>
      <c r="Q35" s="44">
        <f t="shared" si="33"/>
        <v>0</v>
      </c>
      <c r="R35" s="44">
        <f t="shared" si="33"/>
        <v>0</v>
      </c>
      <c r="S35" s="44">
        <f t="shared" si="33"/>
        <v>0</v>
      </c>
      <c r="T35" s="95"/>
      <c r="U35" s="68"/>
      <c r="V35" s="68"/>
      <c r="W35" s="68"/>
      <c r="X35" s="68"/>
      <c r="Y35" s="68"/>
      <c r="Z35" s="68"/>
    </row>
    <row r="36" spans="1:26">
      <c r="A36" s="93"/>
      <c r="B36" s="93"/>
      <c r="C36" s="93"/>
      <c r="D36" s="94"/>
      <c r="E36" s="94"/>
      <c r="F36" s="94"/>
      <c r="G36" s="94"/>
      <c r="H36" s="94"/>
      <c r="I36" s="94"/>
      <c r="J36" s="44">
        <v>-15</v>
      </c>
      <c r="K36" s="44">
        <v>-3</v>
      </c>
      <c r="L36" s="44">
        <v>2</v>
      </c>
      <c r="M36" s="44">
        <v>2</v>
      </c>
      <c r="N36" s="44">
        <v>10</v>
      </c>
      <c r="O36" s="44">
        <f t="shared" ref="O36:O40" si="34">L30</f>
        <v>7</v>
      </c>
      <c r="P36" s="44">
        <f t="shared" si="33"/>
        <v>-3</v>
      </c>
      <c r="Q36" s="44">
        <f t="shared" si="33"/>
        <v>-3</v>
      </c>
      <c r="R36" s="44">
        <f t="shared" si="33"/>
        <v>2</v>
      </c>
      <c r="S36" s="44">
        <f t="shared" si="33"/>
        <v>2</v>
      </c>
      <c r="T36" s="95"/>
      <c r="U36" s="68"/>
      <c r="V36" s="68"/>
      <c r="W36" s="68"/>
      <c r="X36" s="68"/>
      <c r="Y36" s="68"/>
      <c r="Z36" s="68"/>
    </row>
    <row r="37" spans="1:26">
      <c r="A37" s="93"/>
      <c r="B37" s="93"/>
      <c r="C37" s="93"/>
      <c r="D37" s="94"/>
      <c r="E37" s="94"/>
      <c r="F37" s="94"/>
      <c r="G37" s="94"/>
      <c r="H37" s="94"/>
      <c r="I37" s="95">
        <f>I31</f>
        <v>9</v>
      </c>
      <c r="J37" s="44">
        <v>0</v>
      </c>
      <c r="K37" s="44">
        <v>-20</v>
      </c>
      <c r="L37" s="44">
        <v>10</v>
      </c>
      <c r="M37" s="44">
        <v>-5</v>
      </c>
      <c r="N37" s="44">
        <v>-5</v>
      </c>
      <c r="O37" s="44">
        <f t="shared" si="34"/>
        <v>-12</v>
      </c>
      <c r="P37" s="44">
        <f t="shared" si="33"/>
        <v>-15</v>
      </c>
      <c r="Q37" s="44">
        <f t="shared" si="33"/>
        <v>-37</v>
      </c>
      <c r="R37" s="44">
        <f t="shared" si="33"/>
        <v>10</v>
      </c>
      <c r="S37" s="44">
        <f t="shared" si="33"/>
        <v>-5</v>
      </c>
      <c r="T37" s="94"/>
    </row>
    <row r="38" spans="1:26">
      <c r="A38" s="93"/>
      <c r="B38" s="93"/>
      <c r="C38" s="93"/>
      <c r="D38" s="94"/>
      <c r="E38" s="94"/>
      <c r="F38" s="94"/>
      <c r="G38" s="94"/>
      <c r="H38" s="94"/>
      <c r="I38" s="95">
        <f>I32</f>
        <v>-9</v>
      </c>
      <c r="J38" s="44">
        <v>50</v>
      </c>
      <c r="K38" s="44">
        <v>-20</v>
      </c>
      <c r="L38" s="44">
        <v>-5</v>
      </c>
      <c r="M38" s="44">
        <v>0</v>
      </c>
      <c r="N38" s="44">
        <v>15</v>
      </c>
      <c r="O38" s="44">
        <f t="shared" si="34"/>
        <v>25</v>
      </c>
      <c r="P38" s="44">
        <f t="shared" si="33"/>
        <v>37</v>
      </c>
      <c r="Q38" s="44">
        <f t="shared" si="33"/>
        <v>-23</v>
      </c>
      <c r="R38" s="44">
        <f t="shared" si="33"/>
        <v>-5</v>
      </c>
      <c r="S38" s="44">
        <f t="shared" si="33"/>
        <v>0</v>
      </c>
      <c r="T38" s="94"/>
    </row>
    <row r="39" spans="1:26">
      <c r="A39" s="93"/>
      <c r="B39" s="93"/>
      <c r="C39" s="93"/>
      <c r="D39" s="94"/>
      <c r="E39" s="94"/>
      <c r="F39" s="94"/>
      <c r="G39" s="94"/>
      <c r="H39" s="94"/>
      <c r="I39" s="94"/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f t="shared" si="34"/>
        <v>0</v>
      </c>
      <c r="P39" s="44">
        <f t="shared" si="33"/>
        <v>0</v>
      </c>
      <c r="Q39" s="44">
        <f t="shared" si="33"/>
        <v>0</v>
      </c>
      <c r="R39" s="44">
        <f t="shared" si="33"/>
        <v>0</v>
      </c>
      <c r="S39" s="44">
        <f t="shared" si="33"/>
        <v>0</v>
      </c>
      <c r="T39" s="94"/>
    </row>
    <row r="40" spans="1:26">
      <c r="A40" s="93"/>
      <c r="B40" s="93"/>
      <c r="C40" s="93"/>
      <c r="D40" s="94"/>
      <c r="E40" s="94"/>
      <c r="F40" s="94"/>
      <c r="G40" s="94"/>
      <c r="H40" s="94"/>
      <c r="I40" s="94"/>
      <c r="J40" s="44">
        <v>7</v>
      </c>
      <c r="K40" s="44">
        <v>5</v>
      </c>
      <c r="L40" s="44">
        <v>3</v>
      </c>
      <c r="M40" s="44">
        <v>0</v>
      </c>
      <c r="N40" s="44">
        <v>-7</v>
      </c>
      <c r="O40" s="44">
        <f t="shared" si="34"/>
        <v>-7</v>
      </c>
      <c r="P40" s="44">
        <f t="shared" si="33"/>
        <v>-12</v>
      </c>
      <c r="Q40" s="44">
        <f t="shared" si="33"/>
        <v>5</v>
      </c>
      <c r="R40" s="44">
        <f t="shared" si="33"/>
        <v>3</v>
      </c>
      <c r="S40" s="44">
        <f t="shared" si="33"/>
        <v>0</v>
      </c>
      <c r="T40" s="94"/>
    </row>
    <row r="41" spans="1:26">
      <c r="A41" s="93"/>
      <c r="B41" s="93"/>
      <c r="C41" s="93"/>
      <c r="D41" s="94"/>
      <c r="E41" s="94"/>
      <c r="F41" s="94"/>
      <c r="G41" s="94"/>
      <c r="H41" s="94"/>
      <c r="I41" s="94"/>
      <c r="J41" s="51">
        <v>-20</v>
      </c>
      <c r="K41" s="51">
        <v>-30</v>
      </c>
      <c r="L41" s="51">
        <v>-5</v>
      </c>
      <c r="M41" s="51">
        <v>-10</v>
      </c>
      <c r="N41" s="51">
        <v>-8</v>
      </c>
      <c r="O41" s="51">
        <v>5</v>
      </c>
      <c r="P41" s="51">
        <v>10</v>
      </c>
      <c r="Q41" s="51">
        <v>8</v>
      </c>
      <c r="R41" s="51">
        <v>0</v>
      </c>
      <c r="S41" s="51">
        <v>0</v>
      </c>
      <c r="T41" s="94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U9:AB11 F13:G13 U13:AB13 F15:G17 U15:AB17 F19:G19 V19:AB19 F8:AB8 F14:AB14 F12:AB12 F18:AB18 J29:S29 J33:S33 J39:N39 J35:S35 O36:S40" name="入力範囲_4_1_1_1_1_1"/>
    <protectedRange sqref="E8:E13" name="入力範囲_4_1_1_1_3_1_1"/>
    <protectedRange sqref="F20:G20 U20:AB20" name="入力範囲_4_1_1_1_1_1_1"/>
    <protectedRange sqref="E20" name="入力範囲_4_1_1_1_3_1_1_1"/>
    <protectedRange sqref="E14:E19 E25:E28" name="入力範囲_4_1_1_1_3_1_1_2"/>
    <protectedRange sqref="J41:S41 H20:T20" name="入力範囲_4_1_1_1_1_1_2"/>
    <protectedRange sqref="H9:T11 J30:S32" name="入力範囲_4_1_1_1_1_1_3"/>
    <protectedRange sqref="H15:T17 J36:N38" name="入力範囲_4_1_1_1_1_1_9"/>
    <protectedRange sqref="H13:T13 J34:S34" name="入力範囲_4_1_1_1_1_1_10"/>
    <protectedRange sqref="U19" name="入力範囲_4_1_1_1_1_1_11"/>
    <protectedRange sqref="H19:T19 J40:N40" name="入力範囲_4_1_1_1_1_1_1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zoomScale="130" zoomScaleNormal="130" workbookViewId="0">
      <selection activeCell="H15" sqref="H15:T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H5" sqref="H5: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J48" sqref="J4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dynamixel_wake_b</vt:lpstr>
      <vt:lpstr>dynamixel_wake_f</vt:lpstr>
      <vt:lpstr>dynamixel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2024-06-02T13:56:46Z</dcterms:modified>
</cp:coreProperties>
</file>