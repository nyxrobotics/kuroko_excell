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_wake_b" sheetId="38" r:id="rId1"/>
    <sheet name="dynamixel_wake_f" sheetId="36" r:id="rId2"/>
    <sheet name="dynamixel_walk" sheetId="37" r:id="rId3"/>
    <sheet name="Walk" sheetId="23" r:id="rId4"/>
    <sheet name="dynamixel" sheetId="35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3" i="38" l="1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I38" i="37" l="1"/>
  <c r="I37" i="37"/>
  <c r="K8" i="37"/>
  <c r="L8" i="37"/>
  <c r="M8" i="37"/>
  <c r="N8" i="37"/>
  <c r="O8" i="37"/>
  <c r="P8" i="37"/>
  <c r="Q8" i="37"/>
  <c r="R8" i="37"/>
  <c r="S8" i="37"/>
  <c r="K9" i="37"/>
  <c r="L9" i="37"/>
  <c r="M9" i="37"/>
  <c r="N9" i="37"/>
  <c r="O9" i="37"/>
  <c r="P9" i="37"/>
  <c r="Q9" i="37"/>
  <c r="R9" i="37"/>
  <c r="S9" i="37"/>
  <c r="K10" i="37"/>
  <c r="L10" i="37"/>
  <c r="M10" i="37"/>
  <c r="N10" i="37"/>
  <c r="O10" i="37"/>
  <c r="P10" i="37"/>
  <c r="Q10" i="37"/>
  <c r="R10" i="37"/>
  <c r="S10" i="37"/>
  <c r="K11" i="37"/>
  <c r="L11" i="37"/>
  <c r="M11" i="37"/>
  <c r="N11" i="37"/>
  <c r="O11" i="37"/>
  <c r="P11" i="37"/>
  <c r="Q11" i="37"/>
  <c r="R11" i="37"/>
  <c r="S11" i="37"/>
  <c r="K13" i="37"/>
  <c r="L13" i="37"/>
  <c r="M13" i="37"/>
  <c r="N13" i="37"/>
  <c r="O13" i="37"/>
  <c r="P13" i="37"/>
  <c r="Q13" i="37"/>
  <c r="R13" i="37"/>
  <c r="S13" i="37"/>
  <c r="K14" i="37"/>
  <c r="L14" i="37"/>
  <c r="M14" i="37"/>
  <c r="N14" i="37"/>
  <c r="O14" i="37"/>
  <c r="P14" i="37"/>
  <c r="Q14" i="37"/>
  <c r="R14" i="37"/>
  <c r="S14" i="37"/>
  <c r="K15" i="37"/>
  <c r="L15" i="37"/>
  <c r="M15" i="37"/>
  <c r="N15" i="37"/>
  <c r="O15" i="37"/>
  <c r="P15" i="37"/>
  <c r="Q15" i="37"/>
  <c r="R15" i="37"/>
  <c r="S15" i="37"/>
  <c r="K16" i="37"/>
  <c r="L16" i="37"/>
  <c r="M16" i="37"/>
  <c r="N16" i="37"/>
  <c r="O16" i="37"/>
  <c r="P16" i="37"/>
  <c r="Q16" i="37"/>
  <c r="R16" i="37"/>
  <c r="S16" i="37"/>
  <c r="K17" i="37"/>
  <c r="L17" i="37"/>
  <c r="M17" i="37"/>
  <c r="N17" i="37"/>
  <c r="O17" i="37"/>
  <c r="P17" i="37"/>
  <c r="Q17" i="37"/>
  <c r="R17" i="37"/>
  <c r="S17" i="37"/>
  <c r="K19" i="37"/>
  <c r="L19" i="37"/>
  <c r="M19" i="37"/>
  <c r="N19" i="37"/>
  <c r="O19" i="37"/>
  <c r="P19" i="37"/>
  <c r="Q19" i="37"/>
  <c r="R19" i="37"/>
  <c r="S19" i="37"/>
  <c r="K20" i="37"/>
  <c r="L20" i="37"/>
  <c r="M20" i="37"/>
  <c r="N20" i="37"/>
  <c r="O20" i="37"/>
  <c r="P20" i="37"/>
  <c r="Q20" i="37"/>
  <c r="R20" i="37"/>
  <c r="S20" i="37"/>
  <c r="J9" i="37"/>
  <c r="J10" i="37"/>
  <c r="J11" i="37"/>
  <c r="J13" i="37"/>
  <c r="J14" i="37"/>
  <c r="J15" i="37"/>
  <c r="J16" i="37"/>
  <c r="J17" i="37"/>
  <c r="J19" i="37"/>
  <c r="J20" i="37"/>
  <c r="J8" i="37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<sst xmlns="http://schemas.openxmlformats.org/spreadsheetml/2006/main" count="1357" uniqueCount="108">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</sst>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tabSelected="1" zoomScale="145" zoomScaleNormal="145" workbookViewId="0">
      <selection activeCell="O6" sqref="O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352</v>
      </c>
      <c r="Q4" s="62">
        <f t="shared" si="0"/>
        <v>372</v>
      </c>
      <c r="R4" s="62">
        <f t="shared" si="0"/>
        <v>412</v>
      </c>
      <c r="S4" s="62">
        <f t="shared" si="0"/>
        <v>452</v>
      </c>
      <c r="T4" s="62">
        <f t="shared" si="0"/>
        <v>552</v>
      </c>
      <c r="U4" s="62">
        <f t="shared" si="0"/>
        <v>562</v>
      </c>
      <c r="V4" s="62">
        <f t="shared" si="0"/>
        <v>564</v>
      </c>
      <c r="W4" s="62">
        <f t="shared" si="0"/>
        <v>566</v>
      </c>
      <c r="X4" s="62">
        <f t="shared" si="0"/>
        <v>591</v>
      </c>
      <c r="Y4" s="62">
        <f t="shared" si="0"/>
        <v>691</v>
      </c>
      <c r="Z4" s="62">
        <f t="shared" si="0"/>
        <v>791</v>
      </c>
      <c r="AA4" s="62">
        <f t="shared" si="0"/>
        <v>891</v>
      </c>
      <c r="AB4" s="62">
        <f t="shared" si="0"/>
        <v>991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120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192</v>
      </c>
      <c r="M4" s="62">
        <f t="shared" si="0"/>
        <v>212</v>
      </c>
      <c r="N4" s="62">
        <f t="shared" si="0"/>
        <v>252</v>
      </c>
      <c r="O4" s="62">
        <f t="shared" si="0"/>
        <v>292</v>
      </c>
      <c r="P4" s="62">
        <f t="shared" si="0"/>
        <v>392</v>
      </c>
      <c r="Q4" s="62">
        <f t="shared" si="0"/>
        <v>492</v>
      </c>
      <c r="R4" s="62">
        <f t="shared" si="0"/>
        <v>592</v>
      </c>
      <c r="S4" s="62">
        <f t="shared" si="0"/>
        <v>692</v>
      </c>
      <c r="T4" s="62">
        <f t="shared" si="0"/>
        <v>792</v>
      </c>
      <c r="U4" s="62">
        <f t="shared" si="0"/>
        <v>802</v>
      </c>
      <c r="V4" s="62">
        <f t="shared" si="0"/>
        <v>804</v>
      </c>
      <c r="W4" s="62">
        <f t="shared" si="0"/>
        <v>806</v>
      </c>
      <c r="X4" s="62">
        <f t="shared" si="0"/>
        <v>831</v>
      </c>
      <c r="Y4" s="62">
        <f t="shared" si="0"/>
        <v>931</v>
      </c>
      <c r="Z4" s="62">
        <f t="shared" si="0"/>
        <v>1031</v>
      </c>
      <c r="AA4" s="62">
        <f t="shared" si="0"/>
        <v>1131</v>
      </c>
      <c r="AB4" s="62">
        <f t="shared" si="0"/>
        <v>1231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80</v>
      </c>
      <c r="L5" s="63">
        <v>20</v>
      </c>
      <c r="M5" s="63">
        <v>40</v>
      </c>
      <c r="N5" s="63">
        <v>40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10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15</v>
      </c>
      <c r="K13" s="38">
        <v>10</v>
      </c>
      <c r="L13" s="38">
        <v>10</v>
      </c>
      <c r="M13" s="38">
        <v>-10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v>15</v>
      </c>
      <c r="K19" s="44">
        <v>10</v>
      </c>
      <c r="L19" s="44">
        <v>10</v>
      </c>
      <c r="M19" s="44">
        <v>-10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-25</v>
      </c>
      <c r="M21" s="38">
        <v>-25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10</v>
      </c>
      <c r="K25" s="44">
        <v>0</v>
      </c>
      <c r="L25" s="44">
        <v>-25</v>
      </c>
      <c r="M25" s="44">
        <v>-25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10</v>
      </c>
      <c r="M26" s="44">
        <v>20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-120</v>
      </c>
      <c r="L27" s="44">
        <v>-110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-130</v>
      </c>
      <c r="L28" s="44">
        <v>-120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zoomScale="145" zoomScaleNormal="145" workbookViewId="0">
      <selection activeCell="H31" sqref="H31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2</v>
      </c>
      <c r="K4" s="62">
        <f t="shared" si="0"/>
        <v>5</v>
      </c>
      <c r="L4" s="62">
        <f t="shared" si="0"/>
        <v>13</v>
      </c>
      <c r="M4" s="62">
        <f t="shared" si="0"/>
        <v>18</v>
      </c>
      <c r="N4" s="62">
        <f t="shared" si="0"/>
        <v>22</v>
      </c>
      <c r="O4" s="62">
        <f t="shared" si="0"/>
        <v>28</v>
      </c>
      <c r="P4" s="62">
        <f t="shared" si="0"/>
        <v>33</v>
      </c>
      <c r="Q4" s="62">
        <f t="shared" si="0"/>
        <v>37</v>
      </c>
      <c r="R4" s="62">
        <f t="shared" si="0"/>
        <v>43</v>
      </c>
      <c r="S4" s="62">
        <f t="shared" si="0"/>
        <v>58</v>
      </c>
      <c r="T4" s="62">
        <f t="shared" si="0"/>
        <v>68</v>
      </c>
      <c r="U4" s="62">
        <f t="shared" si="0"/>
        <v>70</v>
      </c>
      <c r="V4" s="62">
        <f t="shared" si="0"/>
        <v>72</v>
      </c>
      <c r="W4" s="62">
        <f t="shared" si="0"/>
        <v>74</v>
      </c>
      <c r="X4" s="62">
        <f t="shared" si="0"/>
        <v>99</v>
      </c>
      <c r="Y4" s="62">
        <f t="shared" si="0"/>
        <v>199</v>
      </c>
      <c r="Z4" s="62">
        <f t="shared" si="0"/>
        <v>299</v>
      </c>
      <c r="AA4" s="62">
        <f t="shared" si="0"/>
        <v>399</v>
      </c>
      <c r="AB4" s="62">
        <f t="shared" si="0"/>
        <v>499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f>J29+I29</f>
        <v>0</v>
      </c>
      <c r="K8" s="38">
        <f t="shared" ref="K8:S8" si="1">K29+J29</f>
        <v>0</v>
      </c>
      <c r="L8" s="38">
        <f t="shared" si="1"/>
        <v>0</v>
      </c>
      <c r="M8" s="38">
        <f t="shared" si="1"/>
        <v>0</v>
      </c>
      <c r="N8" s="38">
        <f t="shared" si="1"/>
        <v>0</v>
      </c>
      <c r="O8" s="38">
        <f t="shared" si="1"/>
        <v>0</v>
      </c>
      <c r="P8" s="38">
        <f t="shared" si="1"/>
        <v>0</v>
      </c>
      <c r="Q8" s="38">
        <f t="shared" si="1"/>
        <v>0</v>
      </c>
      <c r="R8" s="38">
        <f t="shared" si="1"/>
        <v>0</v>
      </c>
      <c r="S8" s="38">
        <f t="shared" si="1"/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f t="shared" ref="J9:S20" si="2">J30+I30</f>
        <v>25</v>
      </c>
      <c r="K9" s="38">
        <f t="shared" si="2"/>
        <v>32</v>
      </c>
      <c r="L9" s="38">
        <f t="shared" si="2"/>
        <v>14</v>
      </c>
      <c r="M9" s="38">
        <f t="shared" si="2"/>
        <v>4</v>
      </c>
      <c r="N9" s="38">
        <f t="shared" si="2"/>
        <v>-6</v>
      </c>
      <c r="O9" s="38">
        <f t="shared" si="2"/>
        <v>-1</v>
      </c>
      <c r="P9" s="38">
        <f t="shared" si="2"/>
        <v>4</v>
      </c>
      <c r="Q9" s="38">
        <f t="shared" si="2"/>
        <v>12</v>
      </c>
      <c r="R9" s="38">
        <f t="shared" si="2"/>
        <v>17</v>
      </c>
      <c r="S9" s="38">
        <f t="shared" si="2"/>
        <v>7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f t="shared" si="2"/>
        <v>-20</v>
      </c>
      <c r="K10" s="38">
        <f t="shared" si="2"/>
        <v>-32</v>
      </c>
      <c r="L10" s="38">
        <f t="shared" si="2"/>
        <v>-24</v>
      </c>
      <c r="M10" s="38">
        <f t="shared" si="2"/>
        <v>-27</v>
      </c>
      <c r="N10" s="38">
        <f t="shared" si="2"/>
        <v>-35</v>
      </c>
      <c r="O10" s="38">
        <f t="shared" si="2"/>
        <v>-10</v>
      </c>
      <c r="P10" s="38">
        <f t="shared" si="2"/>
        <v>5</v>
      </c>
      <c r="Q10" s="38">
        <f t="shared" si="2"/>
        <v>-10</v>
      </c>
      <c r="R10" s="38">
        <f t="shared" si="2"/>
        <v>35</v>
      </c>
      <c r="S10" s="38">
        <f t="shared" si="2"/>
        <v>25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f t="shared" si="2"/>
        <v>30</v>
      </c>
      <c r="K11" s="38">
        <f t="shared" si="2"/>
        <v>55</v>
      </c>
      <c r="L11" s="38">
        <f t="shared" si="2"/>
        <v>50</v>
      </c>
      <c r="M11" s="38">
        <f t="shared" si="2"/>
        <v>65</v>
      </c>
      <c r="N11" s="38">
        <f t="shared" si="2"/>
        <v>20</v>
      </c>
      <c r="O11" s="38">
        <f t="shared" si="2"/>
        <v>-25</v>
      </c>
      <c r="P11" s="38">
        <f t="shared" si="2"/>
        <v>-5</v>
      </c>
      <c r="Q11" s="38">
        <f t="shared" si="2"/>
        <v>15</v>
      </c>
      <c r="R11" s="38">
        <f t="shared" si="2"/>
        <v>0</v>
      </c>
      <c r="S11" s="38">
        <f t="shared" si="2"/>
        <v>-20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 t="shared" si="2"/>
        <v>-20</v>
      </c>
      <c r="K13" s="38">
        <f t="shared" si="2"/>
        <v>-27</v>
      </c>
      <c r="L13" s="38">
        <f t="shared" si="2"/>
        <v>-14</v>
      </c>
      <c r="M13" s="38">
        <f t="shared" si="2"/>
        <v>-19</v>
      </c>
      <c r="N13" s="38">
        <f t="shared" si="2"/>
        <v>-7</v>
      </c>
      <c r="O13" s="38">
        <f t="shared" si="2"/>
        <v>8</v>
      </c>
      <c r="P13" s="38">
        <f t="shared" si="2"/>
        <v>3</v>
      </c>
      <c r="Q13" s="38">
        <f t="shared" si="2"/>
        <v>-7</v>
      </c>
      <c r="R13" s="38">
        <f t="shared" si="2"/>
        <v>-14</v>
      </c>
      <c r="S13" s="38">
        <f t="shared" si="2"/>
        <v>-7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f t="shared" si="2"/>
        <v>0</v>
      </c>
      <c r="K14" s="44">
        <f t="shared" si="2"/>
        <v>0</v>
      </c>
      <c r="L14" s="44">
        <f t="shared" si="2"/>
        <v>0</v>
      </c>
      <c r="M14" s="44">
        <f t="shared" si="2"/>
        <v>0</v>
      </c>
      <c r="N14" s="44">
        <f t="shared" si="2"/>
        <v>0</v>
      </c>
      <c r="O14" s="44">
        <f t="shared" si="2"/>
        <v>0</v>
      </c>
      <c r="P14" s="44">
        <f t="shared" si="2"/>
        <v>0</v>
      </c>
      <c r="Q14" s="44">
        <f t="shared" si="2"/>
        <v>0</v>
      </c>
      <c r="R14" s="44">
        <f t="shared" si="2"/>
        <v>0</v>
      </c>
      <c r="S14" s="44">
        <f t="shared" si="2"/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3">IF(E9=0,1,0)</f>
        <v>0</v>
      </c>
      <c r="F15" s="44">
        <v>0</v>
      </c>
      <c r="G15" s="44">
        <v>-7</v>
      </c>
      <c r="H15" s="44">
        <v>0</v>
      </c>
      <c r="I15" s="44">
        <v>0</v>
      </c>
      <c r="J15" s="44">
        <f t="shared" si="2"/>
        <v>-15</v>
      </c>
      <c r="K15" s="44">
        <f t="shared" si="2"/>
        <v>-18</v>
      </c>
      <c r="L15" s="44">
        <f t="shared" si="2"/>
        <v>-1</v>
      </c>
      <c r="M15" s="44">
        <f t="shared" si="2"/>
        <v>4</v>
      </c>
      <c r="N15" s="44">
        <f t="shared" si="2"/>
        <v>12</v>
      </c>
      <c r="O15" s="44">
        <f t="shared" si="2"/>
        <v>17</v>
      </c>
      <c r="P15" s="44">
        <f t="shared" si="2"/>
        <v>4</v>
      </c>
      <c r="Q15" s="44">
        <f t="shared" si="2"/>
        <v>-6</v>
      </c>
      <c r="R15" s="44">
        <f t="shared" si="2"/>
        <v>-1</v>
      </c>
      <c r="S15" s="44">
        <f t="shared" si="2"/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3"/>
        <v>0</v>
      </c>
      <c r="F16" s="44">
        <v>-2</v>
      </c>
      <c r="G16" s="44">
        <v>2</v>
      </c>
      <c r="H16" s="44">
        <v>0</v>
      </c>
      <c r="I16" s="44">
        <v>0</v>
      </c>
      <c r="J16" s="44">
        <f t="shared" si="2"/>
        <v>0</v>
      </c>
      <c r="K16" s="44">
        <f t="shared" si="2"/>
        <v>-20</v>
      </c>
      <c r="L16" s="44">
        <f t="shared" si="2"/>
        <v>-10</v>
      </c>
      <c r="M16" s="44">
        <f t="shared" si="2"/>
        <v>5</v>
      </c>
      <c r="N16" s="44">
        <f t="shared" si="2"/>
        <v>-10</v>
      </c>
      <c r="O16" s="44">
        <f t="shared" si="2"/>
        <v>-17</v>
      </c>
      <c r="P16" s="44">
        <f t="shared" si="2"/>
        <v>-27</v>
      </c>
      <c r="Q16" s="44">
        <f t="shared" si="2"/>
        <v>-35</v>
      </c>
      <c r="R16" s="44">
        <f t="shared" si="2"/>
        <v>20</v>
      </c>
      <c r="S16" s="44">
        <f t="shared" si="2"/>
        <v>25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3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f t="shared" si="2"/>
        <v>50</v>
      </c>
      <c r="K17" s="44">
        <f t="shared" si="2"/>
        <v>30</v>
      </c>
      <c r="L17" s="44">
        <f t="shared" si="2"/>
        <v>-25</v>
      </c>
      <c r="M17" s="44">
        <f t="shared" si="2"/>
        <v>-5</v>
      </c>
      <c r="N17" s="44">
        <f t="shared" si="2"/>
        <v>15</v>
      </c>
      <c r="O17" s="44">
        <f t="shared" si="2"/>
        <v>40</v>
      </c>
      <c r="P17" s="44">
        <f t="shared" si="2"/>
        <v>65</v>
      </c>
      <c r="Q17" s="44">
        <f t="shared" si="2"/>
        <v>20</v>
      </c>
      <c r="R17" s="44">
        <f t="shared" si="2"/>
        <v>-25</v>
      </c>
      <c r="S17" s="44">
        <f t="shared" si="2"/>
        <v>-10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3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 t="shared" si="2"/>
        <v>7</v>
      </c>
      <c r="K19" s="44">
        <f t="shared" si="2"/>
        <v>12</v>
      </c>
      <c r="L19" s="44">
        <f t="shared" si="2"/>
        <v>8</v>
      </c>
      <c r="M19" s="44">
        <f t="shared" si="2"/>
        <v>3</v>
      </c>
      <c r="N19" s="44">
        <f t="shared" si="2"/>
        <v>-7</v>
      </c>
      <c r="O19" s="44">
        <f t="shared" si="2"/>
        <v>-14</v>
      </c>
      <c r="P19" s="44">
        <f t="shared" si="2"/>
        <v>-19</v>
      </c>
      <c r="Q19" s="44">
        <f t="shared" si="2"/>
        <v>-7</v>
      </c>
      <c r="R19" s="44">
        <f t="shared" si="2"/>
        <v>8</v>
      </c>
      <c r="S19" s="44">
        <f t="shared" si="2"/>
        <v>3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f t="shared" si="2"/>
        <v>-20</v>
      </c>
      <c r="K20" s="51">
        <f t="shared" si="2"/>
        <v>-50</v>
      </c>
      <c r="L20" s="51">
        <f t="shared" si="2"/>
        <v>-35</v>
      </c>
      <c r="M20" s="51">
        <f t="shared" si="2"/>
        <v>-15</v>
      </c>
      <c r="N20" s="51">
        <f t="shared" si="2"/>
        <v>-18</v>
      </c>
      <c r="O20" s="51">
        <f t="shared" si="2"/>
        <v>-3</v>
      </c>
      <c r="P20" s="51">
        <f t="shared" si="2"/>
        <v>15</v>
      </c>
      <c r="Q20" s="51">
        <f t="shared" si="2"/>
        <v>18</v>
      </c>
      <c r="R20" s="51">
        <f t="shared" si="2"/>
        <v>8</v>
      </c>
      <c r="S20" s="51">
        <f t="shared" si="2"/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4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4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4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4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5">
        <v>0</v>
      </c>
      <c r="S29" s="95"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95">
        <v>25</v>
      </c>
      <c r="K30" s="95">
        <v>7</v>
      </c>
      <c r="L30" s="95">
        <v>7</v>
      </c>
      <c r="M30" s="95">
        <v>-3</v>
      </c>
      <c r="N30" s="95">
        <v>-3</v>
      </c>
      <c r="O30" s="95">
        <v>2</v>
      </c>
      <c r="P30" s="95">
        <v>2</v>
      </c>
      <c r="Q30" s="95">
        <v>10</v>
      </c>
      <c r="R30" s="95">
        <v>7</v>
      </c>
      <c r="S30" s="95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0</v>
      </c>
      <c r="J31" s="95">
        <v>-20</v>
      </c>
      <c r="K31" s="95">
        <v>-12</v>
      </c>
      <c r="L31" s="95">
        <v>-12</v>
      </c>
      <c r="M31" s="95">
        <v>-15</v>
      </c>
      <c r="N31" s="95">
        <v>-20</v>
      </c>
      <c r="O31" s="95">
        <v>10</v>
      </c>
      <c r="P31" s="95">
        <v>-5</v>
      </c>
      <c r="Q31" s="95">
        <v>-5</v>
      </c>
      <c r="R31" s="95">
        <v>40</v>
      </c>
      <c r="S31" s="95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v>0</v>
      </c>
      <c r="J32" s="95">
        <v>30</v>
      </c>
      <c r="K32" s="95">
        <v>25</v>
      </c>
      <c r="L32" s="95">
        <v>25</v>
      </c>
      <c r="M32" s="95">
        <v>40</v>
      </c>
      <c r="N32" s="95">
        <v>-20</v>
      </c>
      <c r="O32" s="95">
        <v>-5</v>
      </c>
      <c r="P32" s="95">
        <v>0</v>
      </c>
      <c r="Q32" s="95">
        <v>15</v>
      </c>
      <c r="R32" s="95">
        <v>-15</v>
      </c>
      <c r="S32" s="95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95">
        <v>0</v>
      </c>
      <c r="K33" s="95">
        <v>30</v>
      </c>
      <c r="L33" s="95">
        <v>30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95">
        <v>-20</v>
      </c>
      <c r="K34" s="95">
        <v>-7</v>
      </c>
      <c r="L34" s="95">
        <v>-7</v>
      </c>
      <c r="M34" s="95">
        <v>-12</v>
      </c>
      <c r="N34" s="95">
        <v>5</v>
      </c>
      <c r="O34" s="95">
        <v>3</v>
      </c>
      <c r="P34" s="95">
        <v>0</v>
      </c>
      <c r="Q34" s="95">
        <v>-7</v>
      </c>
      <c r="R34" s="95">
        <v>-7</v>
      </c>
      <c r="S34" s="95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95">
        <v>0</v>
      </c>
      <c r="K35" s="95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5">
        <v>0</v>
      </c>
      <c r="S35" s="95"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95">
        <v>-15</v>
      </c>
      <c r="K36" s="95">
        <v>-3</v>
      </c>
      <c r="L36" s="95">
        <v>2</v>
      </c>
      <c r="M36" s="95">
        <v>2</v>
      </c>
      <c r="N36" s="95">
        <v>10</v>
      </c>
      <c r="O36" s="95">
        <v>7</v>
      </c>
      <c r="P36" s="95">
        <v>-3</v>
      </c>
      <c r="Q36" s="95">
        <v>-3</v>
      </c>
      <c r="R36" s="95">
        <v>2</v>
      </c>
      <c r="S36" s="95">
        <v>0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0</v>
      </c>
      <c r="J37" s="94">
        <v>0</v>
      </c>
      <c r="K37" s="94">
        <v>-20</v>
      </c>
      <c r="L37" s="94">
        <v>10</v>
      </c>
      <c r="M37" s="94">
        <v>-5</v>
      </c>
      <c r="N37" s="94">
        <v>-5</v>
      </c>
      <c r="O37" s="94">
        <v>-12</v>
      </c>
      <c r="P37" s="94">
        <v>-15</v>
      </c>
      <c r="Q37" s="94">
        <v>-20</v>
      </c>
      <c r="R37" s="94">
        <v>40</v>
      </c>
      <c r="S37" s="94">
        <v>-15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0</v>
      </c>
      <c r="J38" s="94">
        <v>50</v>
      </c>
      <c r="K38" s="94">
        <v>-20</v>
      </c>
      <c r="L38" s="94">
        <v>-5</v>
      </c>
      <c r="M38" s="94">
        <v>0</v>
      </c>
      <c r="N38" s="94">
        <v>15</v>
      </c>
      <c r="O38" s="94">
        <v>25</v>
      </c>
      <c r="P38" s="94">
        <v>40</v>
      </c>
      <c r="Q38" s="94">
        <v>-20</v>
      </c>
      <c r="R38" s="94">
        <v>-5</v>
      </c>
      <c r="S38" s="94">
        <v>-5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94">
        <v>0</v>
      </c>
      <c r="K39" s="94">
        <v>30</v>
      </c>
      <c r="L39" s="94">
        <v>30</v>
      </c>
      <c r="M39" s="94">
        <v>0</v>
      </c>
      <c r="N39" s="94">
        <v>0</v>
      </c>
      <c r="O39" s="94">
        <v>0</v>
      </c>
      <c r="P39" s="94">
        <v>0</v>
      </c>
      <c r="Q39" s="94">
        <v>0</v>
      </c>
      <c r="R39" s="94">
        <v>0</v>
      </c>
      <c r="S39" s="94"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94">
        <v>7</v>
      </c>
      <c r="K40" s="94">
        <v>5</v>
      </c>
      <c r="L40" s="94">
        <v>3</v>
      </c>
      <c r="M40" s="94">
        <v>0</v>
      </c>
      <c r="N40" s="94">
        <v>-7</v>
      </c>
      <c r="O40" s="94">
        <v>-7</v>
      </c>
      <c r="P40" s="94">
        <v>-12</v>
      </c>
      <c r="Q40" s="94">
        <v>5</v>
      </c>
      <c r="R40" s="94">
        <v>3</v>
      </c>
      <c r="S40" s="94"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94">
        <v>-20</v>
      </c>
      <c r="K41" s="94">
        <v>-30</v>
      </c>
      <c r="L41" s="94">
        <v>-5</v>
      </c>
      <c r="M41" s="94">
        <v>-10</v>
      </c>
      <c r="N41" s="94">
        <v>-8</v>
      </c>
      <c r="O41" s="94">
        <v>5</v>
      </c>
      <c r="P41" s="94">
        <v>10</v>
      </c>
      <c r="Q41" s="94">
        <v>8</v>
      </c>
      <c r="R41" s="94">
        <v>0</v>
      </c>
      <c r="S41" s="94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F15:G17 U15:AB17 F19:G19 U19:AB19 F8:AB8 F14:AB14 F12:AB12 F18:AB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H9:T11" name="入力範囲_4_1_1_1_1_1_4"/>
    <protectedRange sqref="H13:T13" name="入力範囲_4_1_1_1_1_1_5"/>
    <protectedRange sqref="H15:T17" name="入力範囲_4_1_1_1_1_1_6"/>
    <protectedRange sqref="H19:T19" name="入力範囲_4_1_1_1_1_1_7"/>
    <protectedRange sqref="H20:T20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H16" sqref="H16:T1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F15" sqref="F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dynamixel_walk</vt:lpstr>
      <vt:lpstr>Walk</vt:lpstr>
      <vt:lpstr>dynamixel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2024-05-26T13:55:43Z</dcterms:modified>
</cp:coreProperties>
</file>