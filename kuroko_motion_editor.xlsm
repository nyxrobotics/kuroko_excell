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sen\Documents\github\kuroko_excell\"/>
    </mc:Choice>
  </mc:AlternateContent>
  <bookViews>
    <workbookView xWindow="-110" yWindow="-110" windowWidth="23260" windowHeight="13180"/>
  </bookViews>
  <sheets>
    <sheet name="dynamixel" sheetId="35" r:id="rId1"/>
    <sheet name="Atk_R_low" sheetId="27" r:id="rId2"/>
    <sheet name="Atk_R_high" sheetId="26" r:id="rId3"/>
    <sheet name="Atk_B" sheetId="31" r:id="rId4"/>
    <sheet name="Atk_F" sheetId="30" r:id="rId5"/>
    <sheet name="Atk_L_low" sheetId="29" r:id="rId6"/>
    <sheet name="Atk_L_high" sheetId="28" r:id="rId7"/>
    <sheet name="WakeB" sheetId="25" r:id="rId8"/>
    <sheet name="WakeF" sheetId="24" r:id="rId9"/>
    <sheet name="Back" sheetId="33" r:id="rId10"/>
    <sheet name="Walk" sheetId="23" r:id="rId11"/>
    <sheet name="Left" sheetId="13" r:id="rId12"/>
    <sheet name="Right" sheetId="12" r:id="rId13"/>
    <sheet name="LRoll" sheetId="11" r:id="rId14"/>
    <sheet name="RRoll" sheetId="10" r:id="rId15"/>
    <sheet name="COM" sheetId="1" r:id="rId16"/>
    <sheet name="git" sheetId="34" r:id="rId17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9" i="35" l="1"/>
  <c r="E26" i="35" l="1"/>
  <c r="E27" i="35"/>
  <c r="E28" i="35"/>
  <c r="E15" i="35"/>
  <c r="E16" i="35"/>
  <c r="E17" i="35"/>
  <c r="E18" i="35"/>
  <c r="E14" i="35"/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s="1"/>
  <c r="P4" i="33" s="1"/>
  <c r="Q4" i="33" l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E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12" i="30"/>
  <c r="J4" i="30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I4" i="30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E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E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E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>
  <authors>
    <author>NYX</author>
  </authors>
  <commentList>
    <comment ref="B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<sst xmlns="http://schemas.openxmlformats.org/spreadsheetml/2006/main" count="1249" uniqueCount="108">
  <si>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</si>
  <si>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</si>
  <si>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</si>
  <si>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</si>
  <si>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</si>
  <si>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</si>
  <si>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</si>
  <si>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</si>
  <si>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</si>
  <si>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</si>
  <si>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</si>
  <si>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</si>
  <si>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</si>
  <si>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</si>
  <si>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</si>
  <si>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</si>
  <si>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</si>
  <si>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</si>
  <si>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</si>
  <si>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</si>
  <si>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</si>
  <si>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</si>
  <si>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</si>
  <si>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</si>
  <si>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</si>
  <si>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</si>
  <si>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</si>
  <si>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</si>
  <si>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</si>
  <si>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</si>
  <si>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</si>
  <si>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</si>
  <si>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</si>
  <si>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</si>
  <si>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</si>
  <si>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</si>
  <si>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</si>
  <si>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</si>
  <si>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</si>
  <si>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</si>
  <si>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</si>
  <si>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</si>
  <si>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</si>
  <si>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</si>
  <si>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</si>
  <si>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</si>
  <si>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</si>
  <si>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</si>
  <si>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</si>
  <si>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</si>
  <si>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</si>
  <si>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</si>
  <si>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</si>
  <si>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</si>
  <si>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</si>
  <si>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</si>
  <si>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</si>
  <si>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</si>
  <si>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</si>
  <si>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</si>
  <si>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</si>
  <si>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</si>
  <si>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</si>
  <si>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</si>
  <si>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</si>
  <si>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</si>
  <si>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</si>
  <si>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</si>
  <si>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</si>
  <si>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</si>
  <si>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</si>
  <si>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</si>
  <si>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</si>
  <si>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</si>
  <si>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</si>
  <si>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</si>
  <si>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</si>
  <si>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</si>
  <si>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</si>
  <si>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</si>
  <si>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</si>
  <si>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</si>
  <si>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</si>
  <si>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</si>
  <si>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</si>
  <si>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</si>
  <si>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</si>
  <si>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</si>
  <si>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</si>
  <si>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</si>
  <si>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</si>
  <si>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</si>
  <si>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</si>
  <si>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</si>
  <si>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</si>
  <si>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</si>
  <si>
    <t>右足首Y</t>
    <rPh sb="0" eb="3">
      <t>ミギアシクビ</t>
    </rPh>
    <phoneticPr fontId="2"/>
  </si>
  <si>
    <t>右足首R</t>
    <rPh sb="0" eb="3">
      <t>ミギアシクビ</t>
    </rPh>
    <phoneticPr fontId="1"/>
  </si>
  <si>
    <t>右脛</t>
    <rPh sb="0" eb="2">
      <t>ミギスネ</t>
    </rPh>
    <phoneticPr fontId="2"/>
  </si>
  <si>
    <t>左足首Y</t>
    <rPh sb="0" eb="3">
      <t>ヒダリアシクビ</t>
    </rPh>
    <phoneticPr fontId="2"/>
  </si>
  <si>
    <t>左足首R</t>
    <rPh sb="0" eb="3">
      <t>ヒダリアシクビ</t>
    </rPh>
    <phoneticPr fontId="1"/>
  </si>
  <si>
    <t>左脛</t>
    <rPh sb="0" eb="1">
      <t>ヒダリ</t>
    </rPh>
    <rPh sb="1" eb="2">
      <t>スネ</t>
    </rPh>
    <phoneticPr fontId="2"/>
  </si>
  <si>
    <t>左腿</t>
    <rPh sb="1" eb="2">
      <t>モモ</t>
    </rPh>
    <phoneticPr fontId="2"/>
  </si>
  <si>
    <t>左股R</t>
    <rPh sb="0" eb="1">
      <t>ヒダリ</t>
    </rPh>
    <rPh sb="1" eb="2">
      <t>マタ</t>
    </rPh>
    <phoneticPr fontId="2"/>
  </si>
  <si>
    <t>左股P</t>
    <rPh sb="0" eb="1">
      <t>ヒダリ</t>
    </rPh>
    <phoneticPr fontId="1"/>
  </si>
  <si>
    <t>右股P</t>
    <rPh sb="0" eb="1">
      <t>ミギ</t>
    </rPh>
    <rPh sb="1" eb="2">
      <t>マタ</t>
    </rPh>
    <phoneticPr fontId="1"/>
  </si>
  <si>
    <t>右股R</t>
    <rPh sb="0" eb="1">
      <t>ミギ</t>
    </rPh>
    <phoneticPr fontId="2"/>
  </si>
  <si>
    <t>腰Y</t>
    <rPh sb="0" eb="1">
      <t>コシ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</si>
</sst>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\(0\)"/>
    <numFmt numFmtId="177" formatCode="0.0_ "/>
    <numFmt numFmtId="178" formatCode="0_ "/>
  </numFmts>
  <fonts count="2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  <font>
      <sz val="11"/>
      <color rgb="FF0000FF"/>
      <name val="ＭＳ 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0" fontId="0" fillId="11" borderId="0" xfId="0" applyFill="1">
      <alignment vertical="center"/>
    </xf>
    <xf numFmtId="177" fontId="21" fillId="12" borderId="4" xfId="0" applyNumberFormat="1" applyFont="1" applyFill="1" applyBorder="1" applyAlignment="1">
      <alignment horizontal="right" vertical="center"/>
    </xf>
    <xf numFmtId="177" fontId="21" fillId="10" borderId="4" xfId="0" applyNumberFormat="1" applyFont="1" applyFill="1" applyBorder="1" applyAlignment="1">
      <alignment horizontal="right" vertical="center"/>
    </xf>
    <xf numFmtId="177" fontId="21" fillId="11" borderId="4" xfId="0" applyNumberFormat="1" applyFont="1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217448" y="1002862"/>
          <a:ext cx="608724" cy="166414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3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3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3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3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3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3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3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3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3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3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3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3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3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3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3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3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3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3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3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3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4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4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4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4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A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A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/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6"/>
  <dimension ref="A1:AB51"/>
  <sheetViews>
    <sheetView tabSelected="1" zoomScale="145" zoomScaleNormal="145" workbookViewId="0">
      <selection activeCell="L8" sqref="L8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0</v>
      </c>
      <c r="J4" s="62">
        <f t="shared" ref="J4:AB4" si="0">I4+I5+I6</f>
        <v>200</v>
      </c>
      <c r="K4" s="62">
        <f t="shared" si="0"/>
        <v>211</v>
      </c>
      <c r="L4" s="62">
        <f t="shared" si="0"/>
        <v>311</v>
      </c>
      <c r="M4" s="62">
        <f t="shared" si="0"/>
        <v>321</v>
      </c>
      <c r="N4" s="62">
        <f t="shared" si="0"/>
        <v>331</v>
      </c>
      <c r="O4" s="62">
        <f t="shared" si="0"/>
        <v>341</v>
      </c>
      <c r="P4" s="62">
        <f t="shared" si="0"/>
        <v>351</v>
      </c>
      <c r="Q4" s="62">
        <f t="shared" si="0"/>
        <v>361</v>
      </c>
      <c r="R4" s="62">
        <f t="shared" si="0"/>
        <v>371</v>
      </c>
      <c r="S4" s="62">
        <f t="shared" si="0"/>
        <v>381</v>
      </c>
      <c r="T4" s="62">
        <f t="shared" si="0"/>
        <v>391</v>
      </c>
      <c r="U4" s="62">
        <f t="shared" si="0"/>
        <v>401</v>
      </c>
      <c r="V4" s="62">
        <f t="shared" si="0"/>
        <v>403</v>
      </c>
      <c r="W4" s="62">
        <f t="shared" si="0"/>
        <v>405</v>
      </c>
      <c r="X4" s="62">
        <f t="shared" si="0"/>
        <v>430</v>
      </c>
      <c r="Y4" s="62">
        <f t="shared" si="0"/>
        <v>530</v>
      </c>
      <c r="Z4" s="62">
        <f t="shared" si="0"/>
        <v>630</v>
      </c>
      <c r="AA4" s="62">
        <f t="shared" si="0"/>
        <v>730</v>
      </c>
      <c r="AB4" s="62">
        <f t="shared" si="0"/>
        <v>830</v>
      </c>
    </row>
    <row r="5" spans="1:28">
      <c r="A5" s="19"/>
      <c r="B5" s="14"/>
      <c r="C5" s="19"/>
      <c r="D5" s="19"/>
      <c r="F5" s="19"/>
      <c r="G5" s="25" t="s">
        <v>2</v>
      </c>
      <c r="H5" s="63">
        <v>0</v>
      </c>
      <c r="I5" s="63">
        <v>200</v>
      </c>
      <c r="J5" s="63">
        <v>1</v>
      </c>
      <c r="K5" s="63">
        <v>100</v>
      </c>
      <c r="L5" s="63">
        <v>10</v>
      </c>
      <c r="M5" s="63">
        <v>10</v>
      </c>
      <c r="N5" s="63">
        <v>10</v>
      </c>
      <c r="O5" s="63">
        <v>10</v>
      </c>
      <c r="P5" s="63">
        <v>10</v>
      </c>
      <c r="Q5" s="63">
        <v>10</v>
      </c>
      <c r="R5" s="63">
        <v>10</v>
      </c>
      <c r="S5" s="63">
        <v>10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10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1</v>
      </c>
      <c r="I7" s="33">
        <v>0</v>
      </c>
      <c r="J7" s="33">
        <v>0</v>
      </c>
      <c r="K7" s="33">
        <v>2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0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0</v>
      </c>
      <c r="F9" s="38">
        <v>-3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0</v>
      </c>
      <c r="M9" s="38">
        <v>0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5</v>
      </c>
      <c r="G10" s="38">
        <v>0</v>
      </c>
      <c r="H10" s="38">
        <v>0</v>
      </c>
      <c r="I10" s="38">
        <v>-30</v>
      </c>
      <c r="J10" s="38">
        <v>30</v>
      </c>
      <c r="K10" s="38">
        <v>0</v>
      </c>
      <c r="L10" s="38">
        <v>0</v>
      </c>
      <c r="M10" s="38">
        <v>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12</v>
      </c>
      <c r="G11" s="38">
        <v>0</v>
      </c>
      <c r="H11" s="38">
        <v>0</v>
      </c>
      <c r="I11" s="38">
        <v>-30</v>
      </c>
      <c r="J11" s="38">
        <v>30</v>
      </c>
      <c r="K11" s="38">
        <v>0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1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0</v>
      </c>
      <c r="G13" s="38">
        <v>0</v>
      </c>
      <c r="H13" s="38">
        <v>0</v>
      </c>
      <c r="I13" s="38">
        <v>0</v>
      </c>
      <c r="J13" s="38">
        <v>0</v>
      </c>
      <c r="K13" s="38">
        <v>0</v>
      </c>
      <c r="L13" s="38">
        <v>0</v>
      </c>
      <c r="M13" s="38">
        <v>0</v>
      </c>
      <c r="N13" s="38">
        <v>0</v>
      </c>
      <c r="O13" s="38">
        <v>0</v>
      </c>
      <c r="P13" s="38">
        <v>0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0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1">IF(E9=0,1,0)</f>
        <v>1</v>
      </c>
      <c r="F15" s="44">
        <v>0</v>
      </c>
      <c r="G15" s="44">
        <v>0</v>
      </c>
      <c r="H15" s="44">
        <v>0</v>
      </c>
      <c r="I15" s="44">
        <v>0</v>
      </c>
      <c r="J15" s="44">
        <v>0</v>
      </c>
      <c r="K15" s="44">
        <v>0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1"/>
        <v>0</v>
      </c>
      <c r="F16" s="44">
        <v>-2</v>
      </c>
      <c r="G16" s="44">
        <v>0</v>
      </c>
      <c r="H16" s="44">
        <v>0</v>
      </c>
      <c r="I16" s="44">
        <v>-30</v>
      </c>
      <c r="J16" s="44">
        <v>30</v>
      </c>
      <c r="K16" s="44">
        <v>0</v>
      </c>
      <c r="L16" s="44">
        <v>0</v>
      </c>
      <c r="M16" s="44">
        <v>0</v>
      </c>
      <c r="N16" s="44">
        <v>0</v>
      </c>
      <c r="O16" s="44">
        <v>0</v>
      </c>
      <c r="P16" s="44">
        <v>0</v>
      </c>
      <c r="Q16" s="44">
        <v>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1"/>
        <v>1</v>
      </c>
      <c r="F17" s="44">
        <v>13</v>
      </c>
      <c r="G17" s="44">
        <v>0</v>
      </c>
      <c r="H17" s="44">
        <v>0</v>
      </c>
      <c r="I17" s="44">
        <v>-30</v>
      </c>
      <c r="J17" s="44">
        <v>30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1"/>
        <v>1</v>
      </c>
      <c r="F18" s="44">
        <v>0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5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0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0</v>
      </c>
      <c r="K21" s="38">
        <v>0</v>
      </c>
      <c r="L21" s="38">
        <v>0</v>
      </c>
      <c r="M21" s="38">
        <v>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0</v>
      </c>
      <c r="M22" s="38">
        <v>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130</v>
      </c>
      <c r="G23" s="38">
        <v>0</v>
      </c>
      <c r="H23" s="38">
        <v>0</v>
      </c>
      <c r="I23" s="38">
        <v>0</v>
      </c>
      <c r="J23" s="38">
        <v>0</v>
      </c>
      <c r="K23" s="38">
        <v>0</v>
      </c>
      <c r="L23" s="38">
        <v>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130</v>
      </c>
      <c r="G24" s="38">
        <v>0</v>
      </c>
      <c r="H24" s="38">
        <v>0</v>
      </c>
      <c r="I24" s="38">
        <v>0</v>
      </c>
      <c r="J24" s="38">
        <v>0</v>
      </c>
      <c r="K24" s="38">
        <v>0</v>
      </c>
      <c r="L24" s="38">
        <v>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v>0</v>
      </c>
      <c r="F25" s="44">
        <v>-50</v>
      </c>
      <c r="G25" s="44">
        <v>0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ref="E26:E28" si="2">IF(E22=0,1,0)</f>
        <v>1</v>
      </c>
      <c r="F26" s="44">
        <v>0</v>
      </c>
      <c r="G26" s="44"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2"/>
        <v>0</v>
      </c>
      <c r="F27" s="44">
        <v>130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2"/>
        <v>1</v>
      </c>
      <c r="F28" s="44">
        <v>130</v>
      </c>
      <c r="G28" s="44">
        <v>0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8:AB19" name="入力範囲_4_1_1_1_1_1"/>
    <protectedRange sqref="E8:E13" name="入力範囲_4_1_1_1_3_1_1"/>
    <protectedRange sqref="F20:AB20" name="入力範囲_4_1_1_1_1_1_1"/>
    <protectedRange sqref="E20" name="入力範囲_4_1_1_1_3_1_1_1"/>
    <protectedRange sqref="E14:E19 E25:E28" name="入力範囲_4_1_1_1_3_1_1_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A1:AB57"/>
  <sheetViews>
    <sheetView workbookViewId="0">
      <selection activeCell="E12" sqref="E1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A1:AB57"/>
  <sheetViews>
    <sheetView workbookViewId="0">
      <selection activeCell="F3" sqref="F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A1:AB57"/>
  <sheetViews>
    <sheetView topLeftCell="G1" workbookViewId="0">
      <selection activeCell="R6" sqref="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A1:AB57"/>
  <sheetViews>
    <sheetView workbookViewId="0">
      <selection activeCell="M7" sqref="M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A1:AB57"/>
  <sheetViews>
    <sheetView workbookViewId="0">
      <selection activeCell="K27" sqref="K2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AB57"/>
  <sheetViews>
    <sheetView workbookViewId="0">
      <selection activeCell="M22" sqref="M2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A1:AB57"/>
  <sheetViews>
    <sheetView workbookViewId="0">
      <selection activeCell="E4" sqref="E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AB57"/>
  <sheetViews>
    <sheetView workbookViewId="0">
      <selection activeCell="N28" sqref="N28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A1:AB57"/>
  <sheetViews>
    <sheetView topLeftCell="C1" workbookViewId="0">
      <selection activeCell="K6" sqref="K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A1:AB57"/>
  <sheetViews>
    <sheetView workbookViewId="0">
      <selection activeCell="Q24" sqref="Q2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AB57"/>
  <sheetViews>
    <sheetView topLeftCell="D1" workbookViewId="0">
      <selection activeCell="S23" sqref="S2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AB57"/>
  <sheetViews>
    <sheetView topLeftCell="B1" workbookViewId="0">
      <selection activeCell="S15" sqref="S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AB57"/>
  <sheetViews>
    <sheetView topLeftCell="E1" workbookViewId="0">
      <selection activeCell="R20" sqref="R2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AB57"/>
  <sheetViews>
    <sheetView workbookViewId="0">
      <selection activeCell="G65" sqref="G6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6"/>
  <sheetViews>
    <sheetView workbookViewId="0">
      <selection activeCell="AF7" sqref="AF7"/>
    </sheetView>
  </sheetViews>
  <sheetFormatPr defaultRowHeight="13"/>
  <cols>
    <col min="1" max="7" width="8.7265625" style="70"/>
  </cols>
  <sheetData>
    <row r="1" spans="2:7" ht="13.5" thickBot="1"/>
    <row r="2" spans="2:7" ht="13.5" thickBot="1">
      <c r="B2" s="71" t="s">
        <v>90</v>
      </c>
      <c r="C2" s="72"/>
      <c r="E2" s="73" t="s">
        <v>91</v>
      </c>
      <c r="F2" s="74"/>
      <c r="G2" s="75"/>
    </row>
    <row r="3" spans="2:7">
      <c r="B3" s="73" t="s">
        <v>23</v>
      </c>
      <c r="C3" s="76">
        <v>5</v>
      </c>
      <c r="E3" s="77" t="s">
        <v>29</v>
      </c>
      <c r="G3" s="78" t="s">
        <v>30</v>
      </c>
    </row>
    <row r="4" spans="2:7" ht="13.5" thickBot="1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5" thickBot="1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5" thickBot="1">
      <c r="B7" s="86" t="s">
        <v>27</v>
      </c>
      <c r="C7" s="87">
        <v>1</v>
      </c>
      <c r="F7" s="85">
        <v>0</v>
      </c>
      <c r="G7" s="85"/>
    </row>
    <row r="8" spans="2:7">
      <c r="F8" s="85">
        <v>1</v>
      </c>
      <c r="G8" s="85"/>
    </row>
    <row r="9" spans="2:7">
      <c r="F9" s="85">
        <v>6</v>
      </c>
      <c r="G9" s="85"/>
    </row>
    <row r="10" spans="2:7">
      <c r="F10" s="85">
        <v>0</v>
      </c>
      <c r="G10" s="85"/>
    </row>
    <row r="11" spans="2:7">
      <c r="F11" s="85">
        <v>3</v>
      </c>
      <c r="G11" s="85"/>
    </row>
    <row r="12" spans="2:7">
      <c r="F12" s="85">
        <v>40</v>
      </c>
      <c r="G12" s="85"/>
    </row>
    <row r="13" spans="2:7">
      <c r="F13" s="88">
        <v>0</v>
      </c>
    </row>
    <row r="14" spans="2:7">
      <c r="F14" s="88">
        <v>1</v>
      </c>
    </row>
    <row r="15" spans="2:7">
      <c r="F15" s="70" t="s">
        <v>95</v>
      </c>
    </row>
    <row r="16" spans="2:7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D7"/>
  <sheetViews>
    <sheetView workbookViewId="0">
      <selection activeCell="D19" sqref="D19"/>
    </sheetView>
  </sheetViews>
  <sheetFormatPr defaultRowHeight="13"/>
  <sheetData>
    <row r="2" spans="4:4">
      <c r="D2" s="69" t="s">
        <v>84</v>
      </c>
    </row>
    <row r="3" spans="4:4">
      <c r="D3" s="69" t="s">
        <v>85</v>
      </c>
    </row>
    <row r="4" spans="4:4">
      <c r="D4" s="69" t="s">
        <v>86</v>
      </c>
    </row>
    <row r="5" spans="4:4">
      <c r="D5" s="69" t="s">
        <v>87</v>
      </c>
    </row>
    <row r="6" spans="4:4">
      <c r="D6" s="69" t="s">
        <v>88</v>
      </c>
    </row>
    <row r="7" spans="4:4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dynamixel</vt:lpstr>
      <vt:lpstr>Atk_R_low</vt:lpstr>
      <vt:lpstr>Atk_R_high</vt:lpstr>
      <vt:lpstr>Atk_B</vt:lpstr>
      <vt:lpstr>Atk_F</vt:lpstr>
      <vt:lpstr>Atk_L_low</vt:lpstr>
      <vt:lpstr>Atk_L_high</vt:lpstr>
      <vt:lpstr>WakeB</vt:lpstr>
      <vt:lpstr>WakeF</vt:lpstr>
      <vt:lpstr>Back</vt:lpstr>
      <vt:lpstr>Walk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gisen</cp:lastModifiedBy>
  <dcterms:created xsi:type="dcterms:W3CDTF">2015-05-03T10:14:58Z</dcterms:created>
  <dcterms:modified xsi:type="dcterms:W3CDTF">2024-05-24T09:32:11Z</dcterms:modified>
</cp:coreProperties>
</file>