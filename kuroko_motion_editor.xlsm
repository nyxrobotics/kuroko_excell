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/>
  </bookViews>
  <sheets>
    <sheet name="dynamixel_wake_f" sheetId="36" r:id="rId1"/>
    <sheet name="dynamixel" sheetId="35" r:id="rId2"/>
    <sheet name="Atk_R_low" sheetId="27" r:id="rId3"/>
    <sheet name="Atk_R_high" sheetId="26" r:id="rId4"/>
    <sheet name="Atk_B" sheetId="31" r:id="rId5"/>
    <sheet name="Atk_F" sheetId="30" r:id="rId6"/>
    <sheet name="Atk_L_low" sheetId="29" r:id="rId7"/>
    <sheet name="Atk_L_high" sheetId="28" r:id="rId8"/>
    <sheet name="WakeB" sheetId="25" r:id="rId9"/>
    <sheet name="WakeF" sheetId="24" r:id="rId10"/>
    <sheet name="Back" sheetId="33" r:id="rId11"/>
    <sheet name="Walk" sheetId="23" r:id="rId12"/>
    <sheet name="Left" sheetId="13" r:id="rId13"/>
    <sheet name="Right" sheetId="12" r:id="rId14"/>
    <sheet name="LRoll" sheetId="11" r:id="rId15"/>
    <sheet name="RRoll" sheetId="10" r:id="rId16"/>
    <sheet name="COM" sheetId="1" r:id="rId17"/>
    <sheet name="git" sheetId="34" r:id="rId18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" i="36" l="1"/>
  <c r="E28" i="36"/>
  <c r="E27" i="36"/>
  <c r="E26" i="36"/>
  <c r="E19" i="36"/>
  <c r="E18" i="36"/>
  <c r="E17" i="36"/>
  <c r="E16" i="36"/>
  <c r="E15" i="36"/>
  <c r="E14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E19" i="35" l="1"/>
  <c r="E26" i="35" l="1"/>
  <c r="E27" i="35"/>
  <c r="E28" i="35"/>
  <c r="E15" i="35"/>
  <c r="E16" i="35"/>
  <c r="E17" i="35"/>
  <c r="E18" i="35"/>
  <c r="E14" i="35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<sst xmlns="http://schemas.openxmlformats.org/spreadsheetml/2006/main" count="1285" uniqueCount="108">
  <si>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</si>
  <si>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</si>
  <si>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</si>
  <si>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</si>
  <si>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</si>
  <si>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</si>
  <si>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</si>
  <si>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</si>
  <si>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</si>
  <si>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</si>
  <si>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</si>
  <si>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</si>
  <si>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</si>
  <si>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</si>
  <si>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</si>
  <si>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</si>
  <si>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</si>
  <si>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</si>
  <si>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</si>
  <si>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</si>
  <si>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</si>
  <si>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</si>
  <si>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</si>
  <si>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</si>
  <si>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</si>
  <si>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</si>
  <si>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</si>
  <si>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</si>
  <si>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</si>
  <si>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</si>
  <si>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</si>
  <si>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</si>
  <si>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</si>
  <si>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</si>
  <si>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</si>
  <si>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</si>
  <si>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</si>
  <si>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</si>
  <si>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</si>
  <si>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</si>
  <si>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</si>
  <si>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</si>
  <si>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</si>
  <si>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</si>
  <si>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</si>
  <si>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</si>
  <si>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</si>
  <si>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</si>
  <si>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</si>
  <si>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</si>
  <si>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</si>
  <si>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</si>
  <si>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</si>
  <si>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</si>
  <si>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</si>
  <si>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</si>
  <si>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</si>
  <si>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</si>
  <si>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</si>
  <si>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</si>
  <si>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</si>
  <si>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</si>
  <si>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</si>
  <si>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</si>
  <si>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</si>
  <si>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</si>
  <si>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</si>
  <si>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</si>
  <si>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</si>
  <si>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</si>
  <si>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</si>
  <si>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</si>
  <si>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</si>
  <si>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</si>
  <si>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</si>
  <si>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</si>
  <si>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</si>
  <si>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</si>
  <si>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</si>
  <si>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</si>
  <si>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</si>
  <si>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</si>
  <si>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</si>
  <si>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</si>
  <si>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</si>
  <si>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</si>
  <si>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</si>
  <si>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</si>
  <si>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</si>
  <si>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</si>
  <si>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</si>
  <si>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</si>
  <si>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</si>
  <si>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</si>
  <si>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</si>
  <si>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</si>
  <si>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右足首Y</t>
    <rPh sb="0" eb="3">
      <t>ミギアシクビ</t>
    </rPh>
    <phoneticPr fontId="2"/>
  </si>
  <si>
    <t>右足首R</t>
    <rPh sb="0" eb="3">
      <t>ミギアシクビ</t>
    </rPh>
    <phoneticPr fontId="1"/>
  </si>
  <si>
    <t>右脛</t>
    <rPh sb="0" eb="2">
      <t>ミギスネ</t>
    </rPh>
    <phoneticPr fontId="2"/>
  </si>
  <si>
    <t>左足首Y</t>
    <rPh sb="0" eb="3">
      <t>ヒダリアシクビ</t>
    </rPh>
    <phoneticPr fontId="2"/>
  </si>
  <si>
    <t>左足首R</t>
    <rPh sb="0" eb="3">
      <t>ヒダリアシクビ</t>
    </rPh>
    <phoneticPr fontId="1"/>
  </si>
  <si>
    <t>左脛</t>
    <rPh sb="0" eb="1">
      <t>ヒダリ</t>
    </rPh>
    <rPh sb="1" eb="2">
      <t>スネ</t>
    </rPh>
    <phoneticPr fontId="2"/>
  </si>
  <si>
    <t>左腿</t>
    <rPh sb="1" eb="2">
      <t>モモ</t>
    </rPh>
    <phoneticPr fontId="2"/>
  </si>
  <si>
    <t>左股R</t>
    <rPh sb="0" eb="1">
      <t>ヒダリ</t>
    </rPh>
    <rPh sb="1" eb="2">
      <t>マタ</t>
    </rPh>
    <phoneticPr fontId="2"/>
  </si>
  <si>
    <t>左股P</t>
    <rPh sb="0" eb="1">
      <t>ヒダリ</t>
    </rPh>
    <phoneticPr fontId="1"/>
  </si>
  <si>
    <t>右股P</t>
    <rPh sb="0" eb="1">
      <t>ミギ</t>
    </rPh>
    <rPh sb="1" eb="2">
      <t>マタ</t>
    </rPh>
    <phoneticPr fontId="1"/>
  </si>
  <si>
    <t>右股R</t>
    <rPh sb="0" eb="1">
      <t>ミギ</t>
    </rPh>
    <phoneticPr fontId="2"/>
  </si>
  <si>
    <t>腰Y</t>
    <rPh sb="0" eb="1">
      <t>コシ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</si>
</sst>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0000FF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177" fontId="21" fillId="12" borderId="4" xfId="0" applyNumberFormat="1" applyFont="1" applyFill="1" applyBorder="1" applyAlignment="1">
      <alignment horizontal="right" vertical="center"/>
    </xf>
    <xf numFmtId="177" fontId="21" fillId="10" borderId="4" xfId="0" applyNumberFormat="1" applyFont="1" applyFill="1" applyBorder="1" applyAlignment="1">
      <alignment horizontal="right" vertical="center"/>
    </xf>
    <xf numFmtId="177" fontId="21" fillId="11" borderId="4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7"/>
  <dimension ref="A1:AB51"/>
  <sheetViews>
    <sheetView tabSelected="1" zoomScale="145" zoomScaleNormal="145" workbookViewId="0">
      <selection activeCell="M6" sqref="M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222</v>
      </c>
      <c r="M4" s="62">
        <f t="shared" si="0"/>
        <v>282</v>
      </c>
      <c r="N4" s="62">
        <f t="shared" si="0"/>
        <v>342</v>
      </c>
      <c r="O4" s="62">
        <f t="shared" si="0"/>
        <v>382</v>
      </c>
      <c r="P4" s="62">
        <f t="shared" si="0"/>
        <v>482</v>
      </c>
      <c r="Q4" s="62">
        <f t="shared" si="0"/>
        <v>582</v>
      </c>
      <c r="R4" s="62">
        <f t="shared" si="0"/>
        <v>682</v>
      </c>
      <c r="S4" s="62">
        <f t="shared" si="0"/>
        <v>782</v>
      </c>
      <c r="T4" s="62">
        <f t="shared" si="0"/>
        <v>882</v>
      </c>
      <c r="U4" s="62">
        <f t="shared" si="0"/>
        <v>892</v>
      </c>
      <c r="V4" s="62">
        <f t="shared" si="0"/>
        <v>894</v>
      </c>
      <c r="W4" s="62">
        <f t="shared" si="0"/>
        <v>896</v>
      </c>
      <c r="X4" s="62">
        <f t="shared" si="0"/>
        <v>921</v>
      </c>
      <c r="Y4" s="62">
        <f t="shared" si="0"/>
        <v>1021</v>
      </c>
      <c r="Z4" s="62">
        <f t="shared" si="0"/>
        <v>1121</v>
      </c>
      <c r="AA4" s="62">
        <f t="shared" si="0"/>
        <v>1221</v>
      </c>
      <c r="AB4" s="62">
        <f t="shared" si="0"/>
        <v>1321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30</v>
      </c>
      <c r="L5" s="63">
        <v>10</v>
      </c>
      <c r="M5" s="63">
        <v>40</v>
      </c>
      <c r="N5" s="63">
        <v>40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40</v>
      </c>
      <c r="L6" s="63">
        <v>50</v>
      </c>
      <c r="M6" s="63">
        <v>20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0</v>
      </c>
      <c r="G8" s="38">
        <v>0</v>
      </c>
      <c r="H8" s="38">
        <v>0</v>
      </c>
      <c r="I8" s="38">
        <v>0</v>
      </c>
      <c r="J8" s="38">
        <v>0</v>
      </c>
      <c r="K8" s="38">
        <v>5</v>
      </c>
      <c r="L8" s="38">
        <v>5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-3</v>
      </c>
      <c r="G9" s="38">
        <v>-10</v>
      </c>
      <c r="H9" s="38">
        <v>0</v>
      </c>
      <c r="I9" s="38">
        <v>0</v>
      </c>
      <c r="J9" s="38">
        <v>-10</v>
      </c>
      <c r="K9" s="38">
        <v>-10</v>
      </c>
      <c r="L9" s="38">
        <v>-10</v>
      </c>
      <c r="M9" s="38">
        <v>10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5</v>
      </c>
      <c r="G10" s="38">
        <v>2</v>
      </c>
      <c r="H10" s="38">
        <v>0</v>
      </c>
      <c r="I10" s="38">
        <v>0</v>
      </c>
      <c r="J10" s="38">
        <v>-30</v>
      </c>
      <c r="K10" s="38">
        <v>-30</v>
      </c>
      <c r="L10" s="38">
        <v>-25</v>
      </c>
      <c r="M10" s="38">
        <v>-30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12</v>
      </c>
      <c r="G11" s="38">
        <v>-1</v>
      </c>
      <c r="H11" s="38">
        <v>0</v>
      </c>
      <c r="I11" s="38">
        <v>0</v>
      </c>
      <c r="J11" s="38">
        <v>-35</v>
      </c>
      <c r="K11" s="38">
        <v>-35</v>
      </c>
      <c r="L11" s="38">
        <v>-30</v>
      </c>
      <c r="M11" s="38">
        <v>-35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30</v>
      </c>
      <c r="L12" s="38">
        <v>30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-3</v>
      </c>
      <c r="G13" s="38">
        <v>10</v>
      </c>
      <c r="H13" s="38">
        <v>0</v>
      </c>
      <c r="I13" s="38">
        <v>0</v>
      </c>
      <c r="J13" s="38">
        <v>15</v>
      </c>
      <c r="K13" s="38">
        <v>10</v>
      </c>
      <c r="L13" s="38">
        <v>10</v>
      </c>
      <c r="M13" s="38">
        <v>-10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0</v>
      </c>
      <c r="G14" s="44">
        <v>0</v>
      </c>
      <c r="H14" s="44">
        <v>0</v>
      </c>
      <c r="I14" s="44">
        <v>0</v>
      </c>
      <c r="J14" s="44">
        <v>0</v>
      </c>
      <c r="K14" s="44">
        <v>5</v>
      </c>
      <c r="L14" s="44">
        <v>5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0</v>
      </c>
      <c r="F15" s="44">
        <v>0</v>
      </c>
      <c r="G15" s="44">
        <v>-10</v>
      </c>
      <c r="H15" s="44">
        <v>0</v>
      </c>
      <c r="I15" s="44">
        <v>0</v>
      </c>
      <c r="J15" s="44">
        <v>-10</v>
      </c>
      <c r="K15" s="44">
        <v>-10</v>
      </c>
      <c r="L15" s="44">
        <v>-10</v>
      </c>
      <c r="M15" s="44">
        <v>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-2</v>
      </c>
      <c r="G16" s="44">
        <v>2</v>
      </c>
      <c r="H16" s="44">
        <v>0</v>
      </c>
      <c r="I16" s="44">
        <v>0</v>
      </c>
      <c r="J16" s="44">
        <v>-30</v>
      </c>
      <c r="K16" s="44">
        <v>-30</v>
      </c>
      <c r="L16" s="44">
        <v>-25</v>
      </c>
      <c r="M16" s="44">
        <v>-30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13</v>
      </c>
      <c r="G17" s="44">
        <v>-2</v>
      </c>
      <c r="H17" s="44">
        <v>0</v>
      </c>
      <c r="I17" s="44">
        <v>0</v>
      </c>
      <c r="J17" s="44">
        <v>-35</v>
      </c>
      <c r="K17" s="44">
        <v>-35</v>
      </c>
      <c r="L17" s="44">
        <v>-30</v>
      </c>
      <c r="M17" s="44">
        <v>-35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30</v>
      </c>
      <c r="L18" s="44">
        <v>30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3</v>
      </c>
      <c r="G19" s="44">
        <v>10</v>
      </c>
      <c r="H19" s="44">
        <v>0</v>
      </c>
      <c r="I19" s="44">
        <v>0</v>
      </c>
      <c r="J19" s="44">
        <v>15</v>
      </c>
      <c r="K19" s="44">
        <v>10</v>
      </c>
      <c r="L19" s="44">
        <v>10</v>
      </c>
      <c r="M19" s="44">
        <v>-10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10</v>
      </c>
      <c r="K21" s="38">
        <v>0</v>
      </c>
      <c r="L21" s="38">
        <v>-25</v>
      </c>
      <c r="M21" s="38">
        <v>-25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10</v>
      </c>
      <c r="M22" s="38">
        <v>20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-120</v>
      </c>
      <c r="L23" s="38">
        <v>-110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-130</v>
      </c>
      <c r="L24" s="38">
        <v>-120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2">IF(E21=0,1,0)</f>
        <v>1</v>
      </c>
      <c r="F25" s="44">
        <v>50</v>
      </c>
      <c r="G25" s="44">
        <v>0</v>
      </c>
      <c r="H25" s="44">
        <v>0</v>
      </c>
      <c r="I25" s="44">
        <v>0</v>
      </c>
      <c r="J25" s="44">
        <v>10</v>
      </c>
      <c r="K25" s="44">
        <v>0</v>
      </c>
      <c r="L25" s="44">
        <v>-25</v>
      </c>
      <c r="M25" s="44">
        <v>-25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2"/>
        <v>1</v>
      </c>
      <c r="F26" s="44">
        <v>2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10</v>
      </c>
      <c r="M26" s="44">
        <v>20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125</v>
      </c>
      <c r="G27" s="44">
        <v>0</v>
      </c>
      <c r="H27" s="44">
        <v>0</v>
      </c>
      <c r="I27" s="44">
        <v>0</v>
      </c>
      <c r="J27" s="44">
        <v>0</v>
      </c>
      <c r="K27" s="44">
        <v>-120</v>
      </c>
      <c r="L27" s="44">
        <v>-110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125</v>
      </c>
      <c r="G28" s="44">
        <v>0</v>
      </c>
      <c r="H28" s="44">
        <v>0</v>
      </c>
      <c r="I28" s="44">
        <v>0</v>
      </c>
      <c r="J28" s="44">
        <v>0</v>
      </c>
      <c r="K28" s="44">
        <v>-130</v>
      </c>
      <c r="L28" s="44">
        <v>-120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8 F12:AB12 F9:G11 O9:AB11 F13:G13 O13:AB13 F14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N11" name="入力範囲_4_1_1_1_1_1_2"/>
    <protectedRange sqref="H13:N13" name="入力範囲_4_1_1_1_1_1_3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zoomScale="145" zoomScaleNormal="145" workbookViewId="0">
      <selection activeCell="I17" sqref="I1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0</v>
      </c>
      <c r="J4" s="62">
        <f t="shared" ref="J4:AB4" si="0">I4+I5+I6</f>
        <v>100</v>
      </c>
      <c r="K4" s="62">
        <f t="shared" si="0"/>
        <v>200</v>
      </c>
      <c r="L4" s="62">
        <f t="shared" si="0"/>
        <v>300</v>
      </c>
      <c r="M4" s="62">
        <f t="shared" si="0"/>
        <v>330</v>
      </c>
      <c r="N4" s="62">
        <f t="shared" si="0"/>
        <v>360</v>
      </c>
      <c r="O4" s="62">
        <f t="shared" si="0"/>
        <v>370</v>
      </c>
      <c r="P4" s="62">
        <f t="shared" si="0"/>
        <v>380</v>
      </c>
      <c r="Q4" s="62">
        <f t="shared" si="0"/>
        <v>390</v>
      </c>
      <c r="R4" s="62">
        <f t="shared" si="0"/>
        <v>400</v>
      </c>
      <c r="S4" s="62">
        <f t="shared" si="0"/>
        <v>410</v>
      </c>
      <c r="T4" s="62">
        <f t="shared" si="0"/>
        <v>420</v>
      </c>
      <c r="U4" s="62">
        <f t="shared" si="0"/>
        <v>430</v>
      </c>
      <c r="V4" s="62">
        <f t="shared" si="0"/>
        <v>432</v>
      </c>
      <c r="W4" s="62">
        <f t="shared" si="0"/>
        <v>434</v>
      </c>
      <c r="X4" s="62">
        <f t="shared" si="0"/>
        <v>459</v>
      </c>
      <c r="Y4" s="62">
        <f t="shared" si="0"/>
        <v>559</v>
      </c>
      <c r="Z4" s="62">
        <f t="shared" si="0"/>
        <v>659</v>
      </c>
      <c r="AA4" s="62">
        <f t="shared" si="0"/>
        <v>759</v>
      </c>
      <c r="AB4" s="62">
        <f t="shared" si="0"/>
        <v>859</v>
      </c>
    </row>
    <row r="5" spans="1:28">
      <c r="A5" s="19"/>
      <c r="B5" s="14"/>
      <c r="C5" s="19"/>
      <c r="D5" s="19"/>
      <c r="F5" s="19"/>
      <c r="G5" s="25" t="s">
        <v>2</v>
      </c>
      <c r="H5" s="63">
        <v>0</v>
      </c>
      <c r="I5" s="63">
        <v>100</v>
      </c>
      <c r="J5" s="63">
        <v>0</v>
      </c>
      <c r="K5" s="63">
        <v>100</v>
      </c>
      <c r="L5" s="63">
        <v>30</v>
      </c>
      <c r="M5" s="63">
        <v>30</v>
      </c>
      <c r="N5" s="63">
        <v>10</v>
      </c>
      <c r="O5" s="63">
        <v>10</v>
      </c>
      <c r="P5" s="63">
        <v>10</v>
      </c>
      <c r="Q5" s="63">
        <v>10</v>
      </c>
      <c r="R5" s="63">
        <v>10</v>
      </c>
      <c r="S5" s="63">
        <v>10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100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1</v>
      </c>
      <c r="I7" s="33">
        <v>0</v>
      </c>
      <c r="J7" s="33">
        <v>0</v>
      </c>
      <c r="K7" s="33">
        <v>2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0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0</v>
      </c>
      <c r="F9" s="38">
        <v>-3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5</v>
      </c>
      <c r="G10" s="38">
        <v>0</v>
      </c>
      <c r="H10" s="38">
        <v>0</v>
      </c>
      <c r="I10" s="38">
        <v>-30</v>
      </c>
      <c r="J10" s="38">
        <v>15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12</v>
      </c>
      <c r="G11" s="38">
        <v>0</v>
      </c>
      <c r="H11" s="38">
        <v>0</v>
      </c>
      <c r="I11" s="38">
        <v>-35</v>
      </c>
      <c r="J11" s="38">
        <v>15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0</v>
      </c>
      <c r="G13" s="38">
        <v>0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0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1</v>
      </c>
      <c r="F15" s="44">
        <v>0</v>
      </c>
      <c r="G15" s="44">
        <v>0</v>
      </c>
      <c r="H15" s="44">
        <v>0</v>
      </c>
      <c r="I15" s="44">
        <v>0</v>
      </c>
      <c r="J15" s="44">
        <v>0</v>
      </c>
      <c r="K15" s="44">
        <v>0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-2</v>
      </c>
      <c r="G16" s="44">
        <v>0</v>
      </c>
      <c r="H16" s="44">
        <v>0</v>
      </c>
      <c r="I16" s="44">
        <v>-30</v>
      </c>
      <c r="J16" s="44">
        <v>15</v>
      </c>
      <c r="K16" s="44">
        <v>0</v>
      </c>
      <c r="L16" s="44">
        <v>0</v>
      </c>
      <c r="M16" s="44">
        <v>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13</v>
      </c>
      <c r="G17" s="44">
        <v>0</v>
      </c>
      <c r="H17" s="44">
        <v>0</v>
      </c>
      <c r="I17" s="44">
        <v>-35</v>
      </c>
      <c r="J17" s="44">
        <v>15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5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130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130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v>0</v>
      </c>
      <c r="F25" s="44">
        <v>-50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ref="E26:E28" si="2">IF(E22=0,1,0)</f>
        <v>1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130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130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workbookViewId="0">
      <selection activeCell="H5" sqref="H5:Q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workbookViewId="0">
      <selection activeCell="H17" sqref="H17:N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workbookViewId="0">
      <selection activeCell="Q24" sqref="Q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dynamixel_wake_f</vt:lpstr>
      <vt:lpstr>dynamixel</vt:lpstr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2024-05-24T11:14:58Z</dcterms:modified>
</cp:coreProperties>
</file>