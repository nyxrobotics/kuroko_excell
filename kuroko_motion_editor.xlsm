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activeTab="3"/>
  </bookViews>
  <sheets>
    <sheet name="dynamixel" sheetId="35" r:id="rId1"/>
    <sheet name="dynamixel_wake_b" sheetId="38" r:id="rId2"/>
    <sheet name="dynamixel_wake_f" sheetId="36" r:id="rId3"/>
    <sheet name="dynamixel_atk" sheetId="39" r:id="rId4"/>
    <sheet name="dynamixel_walk" sheetId="37" r:id="rId5"/>
    <sheet name="Walk" sheetId="23" r:id="rId6"/>
    <sheet name="Atk_R_low" sheetId="27" r:id="rId7"/>
    <sheet name="Atk_R_high" sheetId="26" r:id="rId8"/>
    <sheet name="Atk_B" sheetId="31" r:id="rId9"/>
    <sheet name="Atk_F" sheetId="30" r:id="rId10"/>
    <sheet name="Atk_L_low" sheetId="29" r:id="rId11"/>
    <sheet name="Atk_L_high" sheetId="28" r:id="rId12"/>
    <sheet name="WakeF" sheetId="24" r:id="rId13"/>
    <sheet name="WakeB" sheetId="25" r:id="rId14"/>
    <sheet name="Back" sheetId="33" r:id="rId15"/>
    <sheet name="Left" sheetId="13" r:id="rId16"/>
    <sheet name="Right" sheetId="12" r:id="rId17"/>
    <sheet name="LRoll" sheetId="11" r:id="rId18"/>
    <sheet name="RRoll" sheetId="10" r:id="rId19"/>
    <sheet name="COM" sheetId="1" r:id="rId20"/>
    <sheet name="git" sheetId="34" r:id="rId2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9" l="1"/>
  <c r="G27" i="39"/>
  <c r="G26" i="39"/>
  <c r="G25" i="39"/>
  <c r="G28" i="38"/>
  <c r="G27" i="38"/>
  <c r="G26" i="38"/>
  <c r="G25" i="38"/>
  <c r="G28" i="36"/>
  <c r="G27" i="36"/>
  <c r="G26" i="36"/>
  <c r="G25" i="36"/>
  <c r="E28" i="35"/>
  <c r="E27" i="35"/>
  <c r="E26" i="35"/>
  <c r="E25" i="35"/>
  <c r="E19" i="35"/>
  <c r="E18" i="35"/>
  <c r="E17" i="35"/>
  <c r="E16" i="35"/>
  <c r="E15" i="35"/>
  <c r="E14" i="35"/>
  <c r="G28" i="35"/>
  <c r="G27" i="35"/>
  <c r="G26" i="35"/>
  <c r="G25" i="35"/>
  <c r="E28" i="39"/>
  <c r="E27" i="39"/>
  <c r="E26" i="39"/>
  <c r="E25" i="39"/>
  <c r="E19" i="39"/>
  <c r="E18" i="39"/>
  <c r="E17" i="39"/>
  <c r="E16" i="39"/>
  <c r="E15" i="39"/>
  <c r="E14" i="39"/>
  <c r="Q6" i="39"/>
  <c r="P6" i="39"/>
  <c r="O6" i="39"/>
  <c r="Q5" i="39"/>
  <c r="P5" i="39"/>
  <c r="O5" i="39"/>
  <c r="I4" i="39"/>
  <c r="J4" i="39" s="1"/>
  <c r="K4" i="39" s="1"/>
  <c r="L4" i="39" s="1"/>
  <c r="M4" i="39" s="1"/>
  <c r="N4" i="39" s="1"/>
  <c r="O4" i="39" s="1"/>
  <c r="P4" i="39" l="1"/>
  <c r="Q4" i="39" s="1"/>
  <c r="R4" i="39" s="1"/>
  <c r="S4" i="39" s="1"/>
  <c r="T4" i="39" s="1"/>
  <c r="U4" i="39" s="1"/>
  <c r="V4" i="39" s="1"/>
  <c r="W4" i="39" s="1"/>
  <c r="X4" i="39" s="1"/>
  <c r="Y4" i="39" s="1"/>
  <c r="Z4" i="39" s="1"/>
  <c r="AA4" i="39" s="1"/>
  <c r="AB4" i="39" s="1"/>
  <c r="O5" i="37"/>
  <c r="O15" i="37"/>
  <c r="O13" i="37"/>
  <c r="P13" i="37"/>
  <c r="Q13" i="37"/>
  <c r="O19" i="37"/>
  <c r="O14" i="37" l="1"/>
  <c r="O9" i="37"/>
  <c r="O10" i="37"/>
  <c r="G26" i="37"/>
  <c r="G27" i="37"/>
  <c r="G28" i="37"/>
  <c r="G25" i="37"/>
  <c r="J29" i="37"/>
  <c r="K29" i="37"/>
  <c r="L29" i="37"/>
  <c r="O35" i="37" s="1"/>
  <c r="M29" i="37"/>
  <c r="P35" i="37" s="1"/>
  <c r="N29" i="37"/>
  <c r="Q35" i="37" s="1"/>
  <c r="O29" i="37"/>
  <c r="R35" i="37" s="1"/>
  <c r="P29" i="37"/>
  <c r="S35" i="37" s="1"/>
  <c r="Q29" i="37"/>
  <c r="R29" i="37"/>
  <c r="S29" i="37"/>
  <c r="I32" i="37"/>
  <c r="I38" i="37" s="1"/>
  <c r="J35" i="37"/>
  <c r="K35" i="37"/>
  <c r="L35" i="37"/>
  <c r="M35" i="37"/>
  <c r="N35" i="37"/>
  <c r="O36" i="37"/>
  <c r="P36" i="37"/>
  <c r="Q36" i="37"/>
  <c r="R36" i="37"/>
  <c r="S36" i="37"/>
  <c r="I37" i="37"/>
  <c r="O37" i="37"/>
  <c r="P37" i="37"/>
  <c r="Q37" i="37"/>
  <c r="R37" i="37"/>
  <c r="S37" i="37"/>
  <c r="O38" i="37"/>
  <c r="P38" i="37"/>
  <c r="Q38" i="37"/>
  <c r="R38" i="37"/>
  <c r="S38" i="37"/>
  <c r="O39" i="37"/>
  <c r="P39" i="37"/>
  <c r="Q39" i="37"/>
  <c r="R39" i="37"/>
  <c r="S39" i="37"/>
  <c r="O40" i="37"/>
  <c r="P40" i="37"/>
  <c r="Q40" i="37"/>
  <c r="R40" i="37"/>
  <c r="S40" i="37"/>
  <c r="P8" i="37"/>
  <c r="Q8" i="37"/>
  <c r="P9" i="37"/>
  <c r="Q9" i="37"/>
  <c r="P10" i="37"/>
  <c r="Q10" i="37"/>
  <c r="P11" i="37"/>
  <c r="Q11" i="37"/>
  <c r="P12" i="37"/>
  <c r="Q12" i="37"/>
  <c r="O11" i="37"/>
  <c r="O12" i="37"/>
  <c r="O8" i="37"/>
  <c r="Q16" i="37"/>
  <c r="Q17" i="37"/>
  <c r="P19" i="37"/>
  <c r="P20" i="37" l="1"/>
  <c r="Q20" i="37"/>
  <c r="O20" i="37"/>
  <c r="P5" i="37" l="1"/>
  <c r="Q5" i="37"/>
  <c r="P6" i="37"/>
  <c r="Q6" i="37"/>
  <c r="O6" i="37"/>
  <c r="J26" i="36"/>
  <c r="K26" i="36"/>
  <c r="L26" i="36"/>
  <c r="M26" i="36"/>
  <c r="N26" i="36"/>
  <c r="J27" i="36"/>
  <c r="K27" i="36"/>
  <c r="L27" i="36"/>
  <c r="M27" i="36"/>
  <c r="N27" i="36"/>
  <c r="J28" i="36"/>
  <c r="K28" i="36"/>
  <c r="L28" i="36"/>
  <c r="M28" i="36"/>
  <c r="N28" i="36"/>
  <c r="K25" i="36"/>
  <c r="L25" i="36"/>
  <c r="M25" i="36"/>
  <c r="N25" i="36"/>
  <c r="J25" i="36"/>
  <c r="P14" i="37" l="1"/>
  <c r="Q14" i="37"/>
  <c r="P15" i="37"/>
  <c r="Q15" i="37"/>
  <c r="O16" i="37"/>
  <c r="P16" i="37"/>
  <c r="P17" i="37"/>
  <c r="O18" i="37"/>
  <c r="P18" i="37"/>
  <c r="Q18" i="37"/>
  <c r="Q19" i="37"/>
  <c r="P13" i="38"/>
  <c r="K13" i="38"/>
  <c r="L13" i="38"/>
  <c r="M13" i="38"/>
  <c r="M19" i="38" s="1"/>
  <c r="N13" i="38"/>
  <c r="O13" i="38"/>
  <c r="O19" i="38" s="1"/>
  <c r="P19" i="38"/>
  <c r="K19" i="38"/>
  <c r="L19" i="38"/>
  <c r="N19" i="38"/>
  <c r="K15" i="38"/>
  <c r="L15" i="38"/>
  <c r="M15" i="38"/>
  <c r="N15" i="38"/>
  <c r="O15" i="38"/>
  <c r="P15" i="38"/>
  <c r="J19" i="38"/>
  <c r="J15" i="38"/>
  <c r="J13" i="38"/>
  <c r="E28" i="38"/>
  <c r="E27" i="38"/>
  <c r="E26" i="38"/>
  <c r="E25" i="38"/>
  <c r="E19" i="38"/>
  <c r="E18" i="38"/>
  <c r="E17" i="38"/>
  <c r="E16" i="38"/>
  <c r="E15" i="38"/>
  <c r="E14" i="38"/>
  <c r="I4" i="38"/>
  <c r="J4" i="38" s="1"/>
  <c r="K4" i="38" s="1"/>
  <c r="L4" i="38" s="1"/>
  <c r="M4" i="38" s="1"/>
  <c r="N4" i="38" s="1"/>
  <c r="O4" i="38" s="1"/>
  <c r="P4" i="38" s="1"/>
  <c r="Q4" i="38" s="1"/>
  <c r="R4" i="38" s="1"/>
  <c r="S4" i="38" s="1"/>
  <c r="T4" i="38" s="1"/>
  <c r="U4" i="38" s="1"/>
  <c r="V4" i="38" s="1"/>
  <c r="W4" i="38" s="1"/>
  <c r="X4" i="38" s="1"/>
  <c r="Y4" i="38" s="1"/>
  <c r="Z4" i="38" s="1"/>
  <c r="AA4" i="38" s="1"/>
  <c r="AB4" i="38" s="1"/>
  <c r="O17" i="37" l="1"/>
  <c r="E28" i="37"/>
  <c r="E27" i="37"/>
  <c r="E26" i="37"/>
  <c r="E25" i="37"/>
  <c r="E19" i="37"/>
  <c r="E18" i="37"/>
  <c r="E17" i="37"/>
  <c r="E16" i="37"/>
  <c r="E15" i="37"/>
  <c r="E14" i="37"/>
  <c r="I4" i="37"/>
  <c r="J4" i="37" s="1"/>
  <c r="K4" i="37" s="1"/>
  <c r="L4" i="37" s="1"/>
  <c r="M4" i="37" s="1"/>
  <c r="N4" i="37" s="1"/>
  <c r="O4" i="37" s="1"/>
  <c r="P4" i="37" s="1"/>
  <c r="Q4" i="37" s="1"/>
  <c r="R4" i="37" s="1"/>
  <c r="S4" i="37" s="1"/>
  <c r="T4" i="37" s="1"/>
  <c r="U4" i="37" s="1"/>
  <c r="V4" i="37" s="1"/>
  <c r="W4" i="37" s="1"/>
  <c r="X4" i="37" s="1"/>
  <c r="Y4" i="37" s="1"/>
  <c r="Z4" i="37" s="1"/>
  <c r="AA4" i="37" s="1"/>
  <c r="AB4" i="37" s="1"/>
  <c r="E25" i="36"/>
  <c r="E28" i="36"/>
  <c r="E27" i="36"/>
  <c r="E26" i="36"/>
  <c r="E19" i="36"/>
  <c r="E18" i="36"/>
  <c r="E17" i="36"/>
  <c r="E16" i="36"/>
  <c r="E15" i="36"/>
  <c r="E14" i="36"/>
  <c r="I4" i="36"/>
  <c r="J4" i="36" s="1"/>
  <c r="K4" i="36" s="1"/>
  <c r="L4" i="36" s="1"/>
  <c r="M4" i="36" s="1"/>
  <c r="N4" i="36" s="1"/>
  <c r="O4" i="36" s="1"/>
  <c r="P4" i="36" s="1"/>
  <c r="Q4" i="36" s="1"/>
  <c r="R4" i="36" s="1"/>
  <c r="S4" i="36" s="1"/>
  <c r="T4" i="36" s="1"/>
  <c r="U4" i="36" s="1"/>
  <c r="V4" i="36" s="1"/>
  <c r="W4" i="36" s="1"/>
  <c r="X4" i="36" s="1"/>
  <c r="Y4" i="36" s="1"/>
  <c r="Z4" i="36" s="1"/>
  <c r="AA4" i="36" s="1"/>
  <c r="AB4" i="36" s="1"/>
  <c r="I4" i="35" l="1"/>
  <c r="J4" i="35" s="1"/>
  <c r="K4" i="35" s="1"/>
  <c r="L4" i="35" s="1"/>
  <c r="M4" i="35" s="1"/>
  <c r="N4" i="35" s="1"/>
  <c r="O4" i="35" s="1"/>
  <c r="P4" i="35" s="1"/>
  <c r="Q4" i="35" s="1"/>
  <c r="R4" i="35" s="1"/>
  <c r="S4" i="35" s="1"/>
  <c r="T4" i="35" s="1"/>
  <c r="U4" i="35" s="1"/>
  <c r="V4" i="35" s="1"/>
  <c r="W4" i="35" s="1"/>
  <c r="X4" i="35" s="1"/>
  <c r="Y4" i="35" s="1"/>
  <c r="Z4" i="35" s="1"/>
  <c r="AA4" i="35" s="1"/>
  <c r="AB4" i="35" s="1"/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0.xml><?xml version="1.0" encoding="utf-8"?>
<comments xmlns="http://schemas.openxmlformats.org/spreadsheetml/2006/main">
  <authors>
    <author>NYX</author>
  </authors>
  <commentList>
    <comment ref="B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<sst xmlns="http://schemas.openxmlformats.org/spreadsheetml/2006/main" count="1394" uniqueCount="109">
  <si>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</si>
  <si>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</si>
  <si>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</si>
  <si>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</si>
  <si>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</si>
  <si>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</si>
  <si>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</si>
  <si>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</si>
  <si>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</si>
  <si>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</si>
  <si>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</si>
  <si>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</si>
  <si>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</si>
  <si>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</si>
  <si>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</si>
  <si>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</si>
  <si>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</si>
  <si>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</si>
  <si>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</si>
  <si>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</si>
  <si>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</si>
  <si>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</si>
  <si>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</si>
  <si>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</si>
  <si>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</si>
  <si>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</si>
  <si>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</si>
  <si>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</si>
  <si>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</si>
  <si>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</si>
  <si>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</si>
  <si>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</si>
  <si>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</si>
  <si>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</si>
  <si>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</si>
  <si>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</si>
  <si>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</si>
  <si>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</si>
  <si>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</si>
  <si>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</si>
  <si>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</si>
  <si>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</si>
  <si>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</si>
  <si>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</si>
  <si>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</si>
  <si>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</si>
  <si>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</si>
  <si>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</si>
  <si>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</si>
  <si>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</si>
  <si>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</si>
  <si>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</si>
  <si>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</si>
  <si>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</si>
  <si>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</si>
  <si>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</si>
  <si>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</si>
  <si>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</si>
  <si>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</si>
  <si>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</si>
  <si>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</si>
  <si>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</si>
  <si>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</si>
  <si>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</si>
  <si>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</si>
  <si>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</si>
  <si>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</si>
  <si>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</si>
  <si>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</si>
  <si>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</si>
  <si>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</si>
  <si>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</si>
  <si>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</si>
  <si>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</si>
  <si>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</si>
  <si>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</si>
  <si>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</si>
  <si>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</si>
  <si>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</si>
  <si>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</si>
  <si>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</si>
  <si>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</si>
  <si>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</si>
  <si>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</si>
  <si>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</si>
  <si>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</si>
  <si>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</si>
  <si>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</si>
  <si>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</si>
  <si>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</si>
  <si>
    <t>Port Config</t>
    <phoneticPr fontId="1"/>
  </si>
  <si>
    <t>Free Packet</t>
    <phoneticPr fontId="1"/>
  </si>
  <si>
    <t>FF</t>
    <phoneticPr fontId="1"/>
  </si>
  <si>
    <t>FF</t>
    <phoneticPr fontId="1"/>
  </si>
  <si>
    <t>FD</t>
    <phoneticPr fontId="1"/>
  </si>
  <si>
    <t>DB</t>
    <phoneticPr fontId="1"/>
  </si>
  <si>
    <t>右足首Y</t>
    <rPh sb="0" eb="3">
      <t>ミギアシクビ</t>
    </rPh>
    <phoneticPr fontId="2"/>
  </si>
  <si>
    <t>右足首R</t>
    <rPh sb="0" eb="3">
      <t>ミギアシクビ</t>
    </rPh>
    <phoneticPr fontId="1"/>
  </si>
  <si>
    <t>右脛</t>
    <rPh sb="0" eb="2">
      <t>ミギスネ</t>
    </rPh>
    <phoneticPr fontId="2"/>
  </si>
  <si>
    <t>左足首Y</t>
    <rPh sb="0" eb="3">
      <t>ヒダリアシクビ</t>
    </rPh>
    <phoneticPr fontId="2"/>
  </si>
  <si>
    <t>左足首R</t>
    <rPh sb="0" eb="3">
      <t>ヒダリアシクビ</t>
    </rPh>
    <phoneticPr fontId="1"/>
  </si>
  <si>
    <t>左脛</t>
    <rPh sb="0" eb="1">
      <t>ヒダリ</t>
    </rPh>
    <rPh sb="1" eb="2">
      <t>スネ</t>
    </rPh>
    <phoneticPr fontId="2"/>
  </si>
  <si>
    <t>左腿</t>
    <rPh sb="1" eb="2">
      <t>モモ</t>
    </rPh>
    <phoneticPr fontId="2"/>
  </si>
  <si>
    <t>左股R</t>
    <rPh sb="0" eb="1">
      <t>ヒダリ</t>
    </rPh>
    <rPh sb="1" eb="2">
      <t>マタ</t>
    </rPh>
    <phoneticPr fontId="2"/>
  </si>
  <si>
    <t>左股P</t>
    <rPh sb="0" eb="1">
      <t>ヒダリ</t>
    </rPh>
    <phoneticPr fontId="1"/>
  </si>
  <si>
    <t>右股P</t>
    <rPh sb="0" eb="1">
      <t>ミギ</t>
    </rPh>
    <rPh sb="1" eb="2">
      <t>マタ</t>
    </rPh>
    <phoneticPr fontId="1"/>
  </si>
  <si>
    <t>右股R</t>
    <rPh sb="0" eb="1">
      <t>ミギ</t>
    </rPh>
    <phoneticPr fontId="2"/>
  </si>
  <si>
    <t>腰Y</t>
    <rPh sb="0" eb="1">
      <t>コシ</t>
    </rPh>
    <phoneticPr fontId="2"/>
  </si>
  <si>
    <t>時間床依存</t>
    <rPh sb="0" eb="2">
      <t>ジカン</t>
    </rPh>
    <rPh sb="2" eb="5">
      <t>ユカイゾン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</si>
</sst>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  <font>
      <b/>
      <sz val="11"/>
      <color theme="1"/>
      <name val="ＭＳ Ｐゴシック"/>
      <family val="3"/>
      <charset val="128"/>
      <scheme val="minor"/>
    </font>
    <font>
      <b/>
      <sz val="9"/>
      <color theme="1"/>
      <name val="Times New Roman"/>
      <family val="1"/>
    </font>
    <font>
      <b/>
      <sz val="6"/>
      <color theme="1"/>
      <name val="Times New Roman"/>
      <family val="1"/>
    </font>
    <font>
      <sz val="11"/>
      <color rgb="FF0000FF"/>
      <name val="ＭＳ 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8" fontId="0" fillId="13" borderId="4" xfId="0" applyNumberFormat="1" applyFont="1" applyFill="1" applyBorder="1" applyAlignment="1">
      <alignment horizontal="right" vertical="center"/>
    </xf>
    <xf numFmtId="178" fontId="3" fillId="13" borderId="4" xfId="0" applyNumberFormat="1" applyFont="1" applyFill="1" applyBorder="1" applyAlignment="1">
      <alignment horizontal="right" vertical="center"/>
    </xf>
    <xf numFmtId="178" fontId="3" fillId="15" borderId="4" xfId="0" applyNumberFormat="1" applyFont="1" applyFill="1" applyBorder="1" applyAlignment="1">
      <alignment horizontal="center" vertical="center"/>
    </xf>
    <xf numFmtId="176" fontId="3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right" vertical="center"/>
    </xf>
    <xf numFmtId="176" fontId="0" fillId="15" borderId="4" xfId="0" applyNumberFormat="1" applyFont="1" applyFill="1" applyBorder="1" applyAlignment="1">
      <alignment horizontal="center" vertical="center"/>
    </xf>
    <xf numFmtId="178" fontId="0" fillId="15" borderId="4" xfId="0" applyNumberFormat="1" applyFont="1" applyFill="1" applyBorder="1" applyAlignment="1">
      <alignment horizontal="center" vertical="center"/>
    </xf>
    <xf numFmtId="178" fontId="3" fillId="15" borderId="4" xfId="0" applyNumberFormat="1" applyFont="1" applyFill="1" applyBorder="1" applyAlignment="1">
      <alignment horizontal="right" vertical="center"/>
    </xf>
    <xf numFmtId="178" fontId="6" fillId="10" borderId="4" xfId="0" applyNumberFormat="1" applyFont="1" applyFill="1" applyBorder="1" applyAlignment="1">
      <alignment horizontal="center" vertical="center"/>
    </xf>
    <xf numFmtId="178" fontId="6" fillId="11" borderId="4" xfId="0" applyNumberFormat="1" applyFont="1" applyFill="1" applyBorder="1" applyAlignment="1">
      <alignment horizontal="center" vertical="center"/>
    </xf>
    <xf numFmtId="178" fontId="6" fillId="12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6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0" fontId="7" fillId="2" borderId="1" xfId="0" applyFont="1" applyFill="1" applyBorder="1">
      <alignment vertical="center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177" fontId="7" fillId="0" borderId="0" xfId="0" applyNumberFormat="1" applyFont="1" applyAlignment="1">
      <alignment horizontal="right" vertical="center"/>
    </xf>
    <xf numFmtId="177" fontId="7" fillId="3" borderId="0" xfId="0" applyNumberFormat="1" applyFont="1" applyFill="1" applyAlignment="1">
      <alignment horizontal="right" vertical="center"/>
    </xf>
    <xf numFmtId="177" fontId="7" fillId="0" borderId="0" xfId="0" applyNumberFormat="1" applyFont="1">
      <alignment vertical="center"/>
    </xf>
    <xf numFmtId="176" fontId="7" fillId="0" borderId="0" xfId="0" applyNumberFormat="1" applyFont="1" applyBorder="1" applyAlignment="1">
      <alignment horizontal="center" vertical="center"/>
    </xf>
    <xf numFmtId="177" fontId="7" fillId="4" borderId="0" xfId="0" applyNumberFormat="1" applyFont="1" applyFill="1" applyAlignment="1">
      <alignment horizontal="right" vertical="center"/>
    </xf>
    <xf numFmtId="177" fontId="7" fillId="5" borderId="0" xfId="0" applyNumberFormat="1" applyFont="1" applyFill="1" applyAlignment="1">
      <alignment horizontal="right" vertical="center"/>
    </xf>
    <xf numFmtId="177" fontId="7" fillId="6" borderId="0" xfId="0" applyNumberFormat="1" applyFont="1" applyFill="1" applyAlignment="1">
      <alignment horizontal="right" vertical="center"/>
    </xf>
    <xf numFmtId="177" fontId="7" fillId="8" borderId="0" xfId="0" applyNumberFormat="1" applyFont="1" applyFill="1" applyAlignment="1">
      <alignment horizontal="right" vertical="center"/>
    </xf>
    <xf numFmtId="177" fontId="7" fillId="0" borderId="4" xfId="0" applyNumberFormat="1" applyFont="1" applyBorder="1" applyAlignment="1">
      <alignment horizontal="right" vertical="center"/>
    </xf>
    <xf numFmtId="176" fontId="7" fillId="0" borderId="4" xfId="0" applyNumberFormat="1" applyFont="1" applyBorder="1" applyAlignment="1">
      <alignment horizontal="center" vertical="center"/>
    </xf>
    <xf numFmtId="0" fontId="7" fillId="9" borderId="4" xfId="0" applyFont="1" applyFill="1" applyBorder="1">
      <alignment vertical="center"/>
    </xf>
    <xf numFmtId="0" fontId="13" fillId="12" borderId="4" xfId="0" applyFont="1" applyFill="1" applyBorder="1" applyAlignment="1">
      <alignment horizontal="center" vertical="center"/>
    </xf>
    <xf numFmtId="177" fontId="13" fillId="14" borderId="4" xfId="0" applyNumberFormat="1" applyFont="1" applyFill="1" applyBorder="1" applyAlignment="1">
      <alignment horizontal="center" vertical="center"/>
    </xf>
    <xf numFmtId="177" fontId="7" fillId="7" borderId="4" xfId="0" applyNumberFormat="1" applyFont="1" applyFill="1" applyBorder="1" applyAlignment="1">
      <alignment horizontal="right" vertical="center"/>
    </xf>
    <xf numFmtId="178" fontId="13" fillId="0" borderId="4" xfId="0" applyNumberFormat="1" applyFont="1" applyBorder="1" applyAlignment="1">
      <alignment horizontal="center" vertical="center"/>
    </xf>
    <xf numFmtId="177" fontId="7" fillId="10" borderId="4" xfId="0" applyNumberFormat="1" applyFont="1" applyFill="1" applyBorder="1" applyAlignment="1">
      <alignment horizontal="right" vertical="center"/>
    </xf>
    <xf numFmtId="176" fontId="14" fillId="10" borderId="4" xfId="0" applyNumberFormat="1" applyFont="1" applyFill="1" applyBorder="1" applyAlignment="1">
      <alignment horizontal="center" vertical="center"/>
    </xf>
    <xf numFmtId="177" fontId="8" fillId="10" borderId="4" xfId="0" applyNumberFormat="1" applyFont="1" applyFill="1" applyBorder="1" applyAlignment="1">
      <alignment horizontal="right" vertical="center"/>
    </xf>
    <xf numFmtId="178" fontId="14" fillId="10" borderId="4" xfId="0" applyNumberFormat="1" applyFont="1" applyFill="1" applyBorder="1" applyAlignment="1">
      <alignment horizontal="center" vertical="center"/>
    </xf>
    <xf numFmtId="177" fontId="14" fillId="10" borderId="4" xfId="0" applyNumberFormat="1" applyFont="1" applyFill="1" applyBorder="1" applyAlignment="1">
      <alignment horizontal="right" vertical="center"/>
    </xf>
    <xf numFmtId="176" fontId="14" fillId="10" borderId="4" xfId="0" quotePrefix="1" applyNumberFormat="1" applyFont="1" applyFill="1" applyBorder="1" applyAlignment="1">
      <alignment horizontal="center" vertical="center"/>
    </xf>
    <xf numFmtId="177" fontId="7" fillId="11" borderId="4" xfId="0" applyNumberFormat="1" applyFont="1" applyFill="1" applyBorder="1" applyAlignment="1">
      <alignment horizontal="right" vertical="center"/>
    </xf>
    <xf numFmtId="176" fontId="14" fillId="11" borderId="4" xfId="0" quotePrefix="1" applyNumberFormat="1" applyFont="1" applyFill="1" applyBorder="1" applyAlignment="1">
      <alignment horizontal="center" vertical="center"/>
    </xf>
    <xf numFmtId="177" fontId="8" fillId="11" borderId="4" xfId="0" applyNumberFormat="1" applyFont="1" applyFill="1" applyBorder="1" applyAlignment="1">
      <alignment horizontal="right" vertical="center"/>
    </xf>
    <xf numFmtId="178" fontId="12" fillId="11" borderId="4" xfId="0" applyNumberFormat="1" applyFont="1" applyFill="1" applyBorder="1" applyAlignment="1">
      <alignment horizontal="center" vertical="center"/>
    </xf>
    <xf numFmtId="177" fontId="14" fillId="11" borderId="4" xfId="0" applyNumberFormat="1" applyFont="1" applyFill="1" applyBorder="1" applyAlignment="1">
      <alignment horizontal="right" vertical="center"/>
    </xf>
    <xf numFmtId="176" fontId="14" fillId="11" borderId="4" xfId="0" applyNumberFormat="1" applyFont="1" applyFill="1" applyBorder="1" applyAlignment="1">
      <alignment horizontal="center" vertical="center"/>
    </xf>
    <xf numFmtId="176" fontId="7" fillId="11" borderId="4" xfId="0" applyNumberFormat="1" applyFont="1" applyFill="1" applyBorder="1" applyAlignment="1">
      <alignment horizontal="center" vertical="center"/>
    </xf>
    <xf numFmtId="177" fontId="7" fillId="12" borderId="4" xfId="0" applyNumberFormat="1" applyFont="1" applyFill="1" applyBorder="1" applyAlignment="1">
      <alignment horizontal="right" vertical="center"/>
    </xf>
    <xf numFmtId="176" fontId="14" fillId="12" borderId="4" xfId="0" applyNumberFormat="1" applyFont="1" applyFill="1" applyBorder="1" applyAlignment="1">
      <alignment horizontal="center" vertical="center"/>
    </xf>
    <xf numFmtId="177" fontId="8" fillId="12" borderId="4" xfId="0" applyNumberFormat="1" applyFont="1" applyFill="1" applyBorder="1" applyAlignment="1">
      <alignment horizontal="right" vertical="center"/>
    </xf>
    <xf numFmtId="178" fontId="14" fillId="12" borderId="4" xfId="0" applyNumberFormat="1" applyFont="1" applyFill="1" applyBorder="1" applyAlignment="1">
      <alignment horizontal="center" vertical="center"/>
    </xf>
    <xf numFmtId="177" fontId="14" fillId="12" borderId="4" xfId="0" applyNumberFormat="1" applyFont="1" applyFill="1" applyBorder="1" applyAlignment="1">
      <alignment horizontal="right" vertical="center"/>
    </xf>
    <xf numFmtId="177" fontId="7" fillId="15" borderId="4" xfId="0" applyNumberFormat="1" applyFont="1" applyFill="1" applyBorder="1" applyAlignment="1">
      <alignment horizontal="right" vertical="center"/>
    </xf>
    <xf numFmtId="176" fontId="14" fillId="15" borderId="4" xfId="0" applyNumberFormat="1" applyFont="1" applyFill="1" applyBorder="1" applyAlignment="1">
      <alignment horizontal="center" vertical="center"/>
    </xf>
    <xf numFmtId="177" fontId="8" fillId="15" borderId="4" xfId="0" applyNumberFormat="1" applyFont="1" applyFill="1" applyBorder="1" applyAlignment="1">
      <alignment horizontal="right" vertical="center"/>
    </xf>
    <xf numFmtId="177" fontId="14" fillId="15" borderId="4" xfId="0" applyNumberFormat="1" applyFont="1" applyFill="1" applyBorder="1" applyAlignment="1">
      <alignment horizontal="center" vertical="center"/>
    </xf>
    <xf numFmtId="178" fontId="14" fillId="15" borderId="4" xfId="0" applyNumberFormat="1" applyFont="1" applyFill="1" applyBorder="1" applyAlignment="1">
      <alignment horizontal="center" vertical="center"/>
    </xf>
    <xf numFmtId="177" fontId="14" fillId="15" borderId="4" xfId="0" applyNumberFormat="1" applyFont="1" applyFill="1" applyBorder="1" applyAlignment="1">
      <alignment horizontal="right" vertical="center"/>
    </xf>
    <xf numFmtId="177" fontId="14" fillId="13" borderId="4" xfId="0" applyNumberFormat="1" applyFont="1" applyFill="1" applyBorder="1" applyAlignment="1">
      <alignment horizontal="right" vertical="center"/>
    </xf>
    <xf numFmtId="0" fontId="7" fillId="0" borderId="0" xfId="0" applyFont="1" applyBorder="1">
      <alignment vertical="center"/>
    </xf>
    <xf numFmtId="177" fontId="7" fillId="0" borderId="0" xfId="0" applyNumberFormat="1" applyFont="1" applyBorder="1" applyAlignment="1">
      <alignment horizontal="right" vertical="center"/>
    </xf>
    <xf numFmtId="177" fontId="10" fillId="0" borderId="0" xfId="0" applyNumberFormat="1" applyFont="1" applyAlignment="1">
      <alignment horizontal="center" vertical="center"/>
    </xf>
    <xf numFmtId="178" fontId="12" fillId="5" borderId="0" xfId="0" applyNumberFormat="1" applyFont="1" applyFill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0" fontId="7" fillId="6" borderId="4" xfId="0" applyFont="1" applyFill="1" applyBorder="1">
      <alignment vertical="center"/>
    </xf>
    <xf numFmtId="176" fontId="7" fillId="17" borderId="4" xfId="0" applyNumberFormat="1" applyFont="1" applyFill="1" applyBorder="1" applyAlignment="1">
      <alignment horizontal="center" vertical="center"/>
    </xf>
    <xf numFmtId="178" fontId="9" fillId="16" borderId="4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0" xfId="0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12" borderId="18" xfId="0" applyFont="1" applyFill="1" applyBorder="1" applyAlignment="1">
      <alignment horizontal="left" vertical="center"/>
    </xf>
    <xf numFmtId="0" fontId="19" fillId="12" borderId="15" xfId="0" applyFont="1" applyFill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9" fillId="12" borderId="18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11" borderId="0" xfId="0" applyFill="1">
      <alignment vertical="center"/>
    </xf>
    <xf numFmtId="177" fontId="21" fillId="12" borderId="4" xfId="0" applyNumberFormat="1" applyFont="1" applyFill="1" applyBorder="1" applyAlignment="1">
      <alignment horizontal="right" vertical="center"/>
    </xf>
    <xf numFmtId="177" fontId="21" fillId="10" borderId="4" xfId="0" applyNumberFormat="1" applyFont="1" applyFill="1" applyBorder="1" applyAlignment="1">
      <alignment horizontal="right" vertical="center"/>
    </xf>
    <xf numFmtId="177" fontId="21" fillId="11" borderId="4" xfId="0" applyNumberFormat="1" applyFont="1" applyFill="1" applyBorder="1" applyAlignment="1">
      <alignment horizontal="righ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177" fontId="0" fillId="0" borderId="0" xfId="0" applyNumberFormat="1" applyFill="1">
      <alignment vertical="center"/>
    </xf>
    <xf numFmtId="177" fontId="14" fillId="0" borderId="0" xfId="0" applyNumberFormat="1" applyFont="1" applyFill="1" applyBorder="1" applyAlignment="1">
      <alignment horizontal="right" vertical="center"/>
    </xf>
    <xf numFmtId="177" fontId="14" fillId="0" borderId="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7448" y="1002862"/>
          <a:ext cx="608724" cy="166414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dynamixelPoseButton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5486400" y="174624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dynamixelTorqueOff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6667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dynamixelGetPose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219200" y="6667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dynamixelGetPose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21920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608724</xdr:colOff>
      <xdr:row>7</xdr:row>
      <xdr:rowOff>0</xdr:rowOff>
    </xdr:to>
    <xdr:sp macro="[0]!dynamixelGetPose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219200" y="996950"/>
          <a:ext cx="608724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dynamixelPoseButton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2672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dynamixelPoseButton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48768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dynamixelPoseButton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096000" y="174624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dynamixelPoseButton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67056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dynamixelPoseButton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7315200" y="174624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dynamixelPoseButton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7924800" y="174624"/>
          <a:ext cx="609600" cy="161926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dynamixelPoseButton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8534400" y="174624"/>
          <a:ext cx="609600" cy="161926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dynamixelPoseButton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9144000" y="174624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dynamixelPoseButton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9753600" y="174624"/>
          <a:ext cx="609600" cy="161926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dynamixelPlayButton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36550"/>
          <a:ext cx="345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36550"/>
          <a:ext cx="2694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1828800" y="3365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182880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dynamixelTorque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016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dynamixelClose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8318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CLOSE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dynamixelPoseButton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46304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dynamixelPoseButton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52400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dynamixelPoseButton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58496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dynamixelPoseButton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64592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3657600" y="0"/>
          <a:ext cx="6096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dynamixelPoseButton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0363200" y="171450"/>
          <a:ext cx="609600" cy="16510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dynamixelPoseButton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0972800" y="171450"/>
          <a:ext cx="609600" cy="16510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dynamixelPoseButton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1582400" y="171450"/>
          <a:ext cx="609600" cy="16510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dynamixelPoseButton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2192000" y="171450"/>
          <a:ext cx="609600" cy="16510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dynamixelPoseButton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2801600" y="171450"/>
          <a:ext cx="609600" cy="16510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dynamixelPoseButton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3411200" y="17145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dynamixelPoseButton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4020800" y="171450"/>
          <a:ext cx="609600" cy="16510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3048000" y="342900"/>
          <a:ext cx="609600" cy="16510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b="1">
              <a:latin typeface="Times New Roman" panose="02020603050405020304" pitchFamily="18" charset="0"/>
              <a:cs typeface="Times New Roman" panose="02020603050405020304" pitchFamily="18" charset="0"/>
            </a:rPr>
            <a:t>Send</a:t>
          </a:r>
          <a:endParaRPr kumimoji="1" lang="ja-JP" altLang="en-US" sz="8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AB51"/>
  <sheetViews>
    <sheetView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10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5</v>
      </c>
      <c r="J4" s="62">
        <f t="shared" ref="J4:AB4" si="0">I4+I5+I6</f>
        <v>20</v>
      </c>
      <c r="K4" s="62">
        <f t="shared" si="0"/>
        <v>40</v>
      </c>
      <c r="L4" s="62">
        <f t="shared" si="0"/>
        <v>50</v>
      </c>
      <c r="M4" s="62">
        <f t="shared" si="0"/>
        <v>80</v>
      </c>
      <c r="N4" s="62">
        <f t="shared" si="0"/>
        <v>110</v>
      </c>
      <c r="O4" s="62">
        <f t="shared" si="0"/>
        <v>120</v>
      </c>
      <c r="P4" s="62">
        <f t="shared" si="0"/>
        <v>130</v>
      </c>
      <c r="Q4" s="62">
        <f t="shared" si="0"/>
        <v>140</v>
      </c>
      <c r="R4" s="62">
        <f t="shared" si="0"/>
        <v>150</v>
      </c>
      <c r="S4" s="62">
        <f t="shared" si="0"/>
        <v>160</v>
      </c>
      <c r="T4" s="62">
        <f t="shared" si="0"/>
        <v>170</v>
      </c>
      <c r="U4" s="62">
        <f t="shared" si="0"/>
        <v>180</v>
      </c>
      <c r="V4" s="62">
        <f t="shared" si="0"/>
        <v>182</v>
      </c>
      <c r="W4" s="62">
        <f t="shared" si="0"/>
        <v>184</v>
      </c>
      <c r="X4" s="62">
        <f t="shared" si="0"/>
        <v>209</v>
      </c>
      <c r="Y4" s="62">
        <f t="shared" si="0"/>
        <v>309</v>
      </c>
      <c r="Z4" s="62">
        <f t="shared" si="0"/>
        <v>409</v>
      </c>
      <c r="AA4" s="62">
        <f t="shared" si="0"/>
        <v>509</v>
      </c>
      <c r="AB4" s="62">
        <f t="shared" si="0"/>
        <v>609</v>
      </c>
    </row>
    <row r="5" spans="1:28">
      <c r="A5" s="19"/>
      <c r="B5" s="14"/>
      <c r="C5" s="19"/>
      <c r="D5" s="19"/>
      <c r="F5" s="19"/>
      <c r="G5" s="25" t="s">
        <v>2</v>
      </c>
      <c r="H5" s="63">
        <v>5</v>
      </c>
      <c r="I5" s="63">
        <v>15</v>
      </c>
      <c r="J5" s="63">
        <v>0</v>
      </c>
      <c r="K5" s="63">
        <v>10</v>
      </c>
      <c r="L5" s="63">
        <v>30</v>
      </c>
      <c r="M5" s="63">
        <v>30</v>
      </c>
      <c r="N5" s="63">
        <v>10</v>
      </c>
      <c r="O5" s="63">
        <v>10</v>
      </c>
      <c r="P5" s="63">
        <v>10</v>
      </c>
      <c r="Q5" s="63">
        <v>10</v>
      </c>
      <c r="R5" s="63">
        <v>10</v>
      </c>
      <c r="S5" s="63">
        <v>10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1</v>
      </c>
      <c r="I7" s="33">
        <v>0</v>
      </c>
      <c r="J7" s="33">
        <v>0</v>
      </c>
      <c r="K7" s="33">
        <v>2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-30</v>
      </c>
      <c r="J10" s="38">
        <v>30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-35</v>
      </c>
      <c r="J11" s="38">
        <v>30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1</v>
      </c>
      <c r="H16" s="44">
        <v>0</v>
      </c>
      <c r="I16" s="44">
        <v>-30</v>
      </c>
      <c r="J16" s="44">
        <v>30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1</v>
      </c>
      <c r="H17" s="44">
        <v>0</v>
      </c>
      <c r="I17" s="44">
        <v>-35</v>
      </c>
      <c r="J17" s="44">
        <v>30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5</v>
      </c>
      <c r="G26" s="44">
        <f t="shared" ref="G26:G28" si="3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3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3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8:AB19" name="入力範囲_4_1_1_1_1_1"/>
    <protectedRange sqref="H20:AB20" name="入力範囲_4_1_1_1_1_1_1"/>
    <protectedRange sqref="F8:G19" name="入力範囲_4_1_1_1_1_1_4"/>
    <protectedRange sqref="F20:G20" name="入力範囲_4_1_1_1_1_1_1_1"/>
    <protectedRange sqref="E8:E13" name="入力範囲_4_1_1_1_3_1_1_3"/>
    <protectedRange sqref="E20" name="入力範囲_4_1_1_1_3_1_1_1_1"/>
    <protectedRange sqref="E14:E19 E25:E28" name="入力範囲_4_1_1_1_3_1_1_2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AB51"/>
  <sheetViews>
    <sheetView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 t="s">
        <v>108</v>
      </c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152</v>
      </c>
      <c r="M4" s="62">
        <f t="shared" si="0"/>
        <v>192</v>
      </c>
      <c r="N4" s="62">
        <f t="shared" si="0"/>
        <v>212</v>
      </c>
      <c r="O4" s="62">
        <f t="shared" si="0"/>
        <v>232</v>
      </c>
      <c r="P4" s="62">
        <f t="shared" si="0"/>
        <v>302</v>
      </c>
      <c r="Q4" s="62">
        <f t="shared" si="0"/>
        <v>322</v>
      </c>
      <c r="R4" s="62">
        <f t="shared" si="0"/>
        <v>362</v>
      </c>
      <c r="S4" s="62">
        <f t="shared" si="0"/>
        <v>402</v>
      </c>
      <c r="T4" s="62">
        <f t="shared" si="0"/>
        <v>502</v>
      </c>
      <c r="U4" s="62">
        <f t="shared" si="0"/>
        <v>512</v>
      </c>
      <c r="V4" s="62">
        <f t="shared" si="0"/>
        <v>514</v>
      </c>
      <c r="W4" s="62">
        <f t="shared" si="0"/>
        <v>516</v>
      </c>
      <c r="X4" s="62">
        <f t="shared" si="0"/>
        <v>541</v>
      </c>
      <c r="Y4" s="62">
        <f t="shared" si="0"/>
        <v>641</v>
      </c>
      <c r="Z4" s="62">
        <f t="shared" si="0"/>
        <v>741</v>
      </c>
      <c r="AA4" s="62">
        <f t="shared" si="0"/>
        <v>841</v>
      </c>
      <c r="AB4" s="62">
        <f t="shared" si="0"/>
        <v>941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40</v>
      </c>
      <c r="L5" s="63">
        <v>40</v>
      </c>
      <c r="M5" s="63">
        <v>20</v>
      </c>
      <c r="N5" s="63">
        <v>20</v>
      </c>
      <c r="O5" s="63">
        <v>70</v>
      </c>
      <c r="P5" s="63">
        <v>20</v>
      </c>
      <c r="Q5" s="63">
        <v>40</v>
      </c>
      <c r="R5" s="63">
        <v>40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-5</v>
      </c>
      <c r="K9" s="38">
        <v>-5</v>
      </c>
      <c r="L9" s="38">
        <v>-5</v>
      </c>
      <c r="M9" s="38">
        <v>-5</v>
      </c>
      <c r="N9" s="38">
        <v>-5</v>
      </c>
      <c r="O9" s="38">
        <v>-5</v>
      </c>
      <c r="P9" s="38">
        <v>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-35</v>
      </c>
      <c r="K10" s="38">
        <v>-35</v>
      </c>
      <c r="L10" s="38">
        <v>-35</v>
      </c>
      <c r="M10" s="38">
        <v>-35</v>
      </c>
      <c r="N10" s="38">
        <v>-35</v>
      </c>
      <c r="O10" s="38">
        <v>-35</v>
      </c>
      <c r="P10" s="38">
        <v>-35</v>
      </c>
      <c r="Q10" s="38">
        <v>-20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-35</v>
      </c>
      <c r="M11" s="38">
        <v>-35</v>
      </c>
      <c r="N11" s="38">
        <v>-35</v>
      </c>
      <c r="O11" s="38">
        <v>-35</v>
      </c>
      <c r="P11" s="38">
        <v>-35</v>
      </c>
      <c r="Q11" s="38">
        <v>-20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f>-J9</f>
        <v>5</v>
      </c>
      <c r="K13" s="38">
        <f t="shared" ref="K13:P13" si="1">-K9</f>
        <v>5</v>
      </c>
      <c r="L13" s="38">
        <f t="shared" si="1"/>
        <v>5</v>
      </c>
      <c r="M13" s="38">
        <f t="shared" si="1"/>
        <v>5</v>
      </c>
      <c r="N13" s="38">
        <f t="shared" si="1"/>
        <v>5</v>
      </c>
      <c r="O13" s="38">
        <f t="shared" si="1"/>
        <v>5</v>
      </c>
      <c r="P13" s="38">
        <f t="shared" si="1"/>
        <v>-5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2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f>J9</f>
        <v>-5</v>
      </c>
      <c r="K15" s="44">
        <f t="shared" ref="K15:P15" si="3">K9</f>
        <v>-5</v>
      </c>
      <c r="L15" s="44">
        <f t="shared" si="3"/>
        <v>-5</v>
      </c>
      <c r="M15" s="44">
        <f t="shared" si="3"/>
        <v>-5</v>
      </c>
      <c r="N15" s="44">
        <f t="shared" si="3"/>
        <v>-5</v>
      </c>
      <c r="O15" s="44">
        <f t="shared" si="3"/>
        <v>-5</v>
      </c>
      <c r="P15" s="44">
        <f t="shared" si="3"/>
        <v>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2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-35</v>
      </c>
      <c r="K16" s="44">
        <v>-35</v>
      </c>
      <c r="L16" s="44">
        <v>-35</v>
      </c>
      <c r="M16" s="44">
        <v>-35</v>
      </c>
      <c r="N16" s="44">
        <v>-35</v>
      </c>
      <c r="O16" s="44">
        <v>-35</v>
      </c>
      <c r="P16" s="44">
        <v>-35</v>
      </c>
      <c r="Q16" s="44">
        <v>-20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2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-35</v>
      </c>
      <c r="K17" s="44">
        <v>-35</v>
      </c>
      <c r="L17" s="44">
        <v>-35</v>
      </c>
      <c r="M17" s="44">
        <v>-35</v>
      </c>
      <c r="N17" s="44">
        <v>-35</v>
      </c>
      <c r="O17" s="44">
        <v>-35</v>
      </c>
      <c r="P17" s="44">
        <v>-35</v>
      </c>
      <c r="Q17" s="44">
        <v>-20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2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f>J13</f>
        <v>5</v>
      </c>
      <c r="K19" s="44">
        <f t="shared" ref="K19:P19" si="4">K13</f>
        <v>5</v>
      </c>
      <c r="L19" s="44">
        <f t="shared" si="4"/>
        <v>5</v>
      </c>
      <c r="M19" s="44">
        <f t="shared" si="4"/>
        <v>5</v>
      </c>
      <c r="N19" s="44">
        <f t="shared" si="4"/>
        <v>5</v>
      </c>
      <c r="O19" s="44">
        <f t="shared" si="4"/>
        <v>5</v>
      </c>
      <c r="P19" s="44">
        <f t="shared" si="4"/>
        <v>-5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30</v>
      </c>
      <c r="K21" s="38">
        <v>-120</v>
      </c>
      <c r="L21" s="38">
        <v>-130</v>
      </c>
      <c r="M21" s="38">
        <v>-100</v>
      </c>
      <c r="N21" s="38">
        <v>-70</v>
      </c>
      <c r="O21" s="38">
        <v>-45</v>
      </c>
      <c r="P21" s="38">
        <v>-80</v>
      </c>
      <c r="Q21" s="38">
        <v>-50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90</v>
      </c>
      <c r="K22" s="38">
        <v>100</v>
      </c>
      <c r="L22" s="38">
        <v>80</v>
      </c>
      <c r="M22" s="38">
        <v>0</v>
      </c>
      <c r="N22" s="38">
        <v>10</v>
      </c>
      <c r="O22" s="38">
        <v>10</v>
      </c>
      <c r="P22" s="38">
        <v>60</v>
      </c>
      <c r="Q22" s="38">
        <v>45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-150</v>
      </c>
      <c r="L23" s="38">
        <v>-247</v>
      </c>
      <c r="M23" s="38">
        <v>-247</v>
      </c>
      <c r="N23" s="38">
        <v>-247</v>
      </c>
      <c r="O23" s="38">
        <v>-130</v>
      </c>
      <c r="P23" s="38">
        <v>-160</v>
      </c>
      <c r="Q23" s="38">
        <v>-45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-150</v>
      </c>
      <c r="L24" s="38">
        <v>-255</v>
      </c>
      <c r="M24" s="38">
        <v>-255</v>
      </c>
      <c r="N24" s="38">
        <v>-255</v>
      </c>
      <c r="O24" s="38">
        <v>-140</v>
      </c>
      <c r="P24" s="38">
        <v>-160</v>
      </c>
      <c r="Q24" s="38">
        <v>-45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5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30</v>
      </c>
      <c r="K25" s="44">
        <v>-120</v>
      </c>
      <c r="L25" s="44">
        <v>-130</v>
      </c>
      <c r="M25" s="44">
        <v>-100</v>
      </c>
      <c r="N25" s="44">
        <v>-70</v>
      </c>
      <c r="O25" s="44">
        <v>-45</v>
      </c>
      <c r="P25" s="44">
        <v>-80</v>
      </c>
      <c r="Q25" s="44">
        <v>-50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5"/>
        <v>1</v>
      </c>
      <c r="F26" s="44">
        <v>5</v>
      </c>
      <c r="G26" s="44">
        <f t="shared" ref="G26:G28" si="6">G22</f>
        <v>0</v>
      </c>
      <c r="H26" s="44">
        <v>0</v>
      </c>
      <c r="I26" s="44">
        <v>0</v>
      </c>
      <c r="J26" s="44">
        <v>90</v>
      </c>
      <c r="K26" s="44">
        <v>100</v>
      </c>
      <c r="L26" s="44">
        <v>80</v>
      </c>
      <c r="M26" s="44">
        <v>0</v>
      </c>
      <c r="N26" s="44">
        <v>10</v>
      </c>
      <c r="O26" s="44">
        <v>10</v>
      </c>
      <c r="P26" s="44">
        <v>60</v>
      </c>
      <c r="Q26" s="44">
        <v>45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5"/>
        <v>0</v>
      </c>
      <c r="F27" s="44">
        <v>125</v>
      </c>
      <c r="G27" s="44">
        <f t="shared" si="6"/>
        <v>0</v>
      </c>
      <c r="H27" s="44">
        <v>0</v>
      </c>
      <c r="I27" s="44">
        <v>0</v>
      </c>
      <c r="J27" s="44">
        <v>0</v>
      </c>
      <c r="K27" s="44">
        <v>-150</v>
      </c>
      <c r="L27" s="44">
        <v>-247</v>
      </c>
      <c r="M27" s="44">
        <v>-247</v>
      </c>
      <c r="N27" s="44">
        <v>-247</v>
      </c>
      <c r="O27" s="44">
        <v>-130</v>
      </c>
      <c r="P27" s="44">
        <v>-160</v>
      </c>
      <c r="Q27" s="44">
        <v>-45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5"/>
        <v>1</v>
      </c>
      <c r="F28" s="44">
        <v>125</v>
      </c>
      <c r="G28" s="44">
        <f t="shared" si="6"/>
        <v>0</v>
      </c>
      <c r="H28" s="44">
        <v>0</v>
      </c>
      <c r="I28" s="44">
        <v>0</v>
      </c>
      <c r="J28" s="44">
        <v>0</v>
      </c>
      <c r="K28" s="44">
        <v>-150</v>
      </c>
      <c r="L28" s="44">
        <v>-255</v>
      </c>
      <c r="M28" s="44">
        <v>-255</v>
      </c>
      <c r="N28" s="44">
        <v>-255</v>
      </c>
      <c r="O28" s="44">
        <v>-140</v>
      </c>
      <c r="P28" s="44">
        <v>-160</v>
      </c>
      <c r="Q28" s="44">
        <v>-45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S9:AB11 S13:AB13 S15:AB17 S19:AB19 H8:AB8 H12:AB12 H14:AB14 H18:AB18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R11" name="入力範囲_4_1_1_1_1_1_5"/>
    <protectedRange sqref="H13:R13" name="入力範囲_4_1_1_1_1_1_6"/>
    <protectedRange sqref="H15:R17" name="入力範囲_4_1_1_1_1_1_7"/>
    <protectedRange sqref="H19:R19" name="入力範囲_4_1_1_1_1_1_8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AB51"/>
  <sheetViews>
    <sheetView zoomScale="145" zoomScaleNormal="145" workbookViewId="0">
      <selection activeCell="F8" sqref="F8:G2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222</v>
      </c>
      <c r="M4" s="62">
        <f t="shared" si="0"/>
        <v>232</v>
      </c>
      <c r="N4" s="62">
        <f t="shared" si="0"/>
        <v>252</v>
      </c>
      <c r="O4" s="62">
        <f t="shared" si="0"/>
        <v>282</v>
      </c>
      <c r="P4" s="62">
        <f t="shared" si="0"/>
        <v>382</v>
      </c>
      <c r="Q4" s="62">
        <f t="shared" si="0"/>
        <v>482</v>
      </c>
      <c r="R4" s="62">
        <f t="shared" si="0"/>
        <v>582</v>
      </c>
      <c r="S4" s="62">
        <f t="shared" si="0"/>
        <v>682</v>
      </c>
      <c r="T4" s="62">
        <f t="shared" si="0"/>
        <v>782</v>
      </c>
      <c r="U4" s="62">
        <f t="shared" si="0"/>
        <v>792</v>
      </c>
      <c r="V4" s="62">
        <f t="shared" si="0"/>
        <v>794</v>
      </c>
      <c r="W4" s="62">
        <f t="shared" si="0"/>
        <v>796</v>
      </c>
      <c r="X4" s="62">
        <f t="shared" si="0"/>
        <v>821</v>
      </c>
      <c r="Y4" s="62">
        <f t="shared" si="0"/>
        <v>921</v>
      </c>
      <c r="Z4" s="62">
        <f t="shared" si="0"/>
        <v>1021</v>
      </c>
      <c r="AA4" s="62">
        <f t="shared" si="0"/>
        <v>1121</v>
      </c>
      <c r="AB4" s="62">
        <f t="shared" si="0"/>
        <v>1221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100</v>
      </c>
      <c r="L5" s="63">
        <v>10</v>
      </c>
      <c r="M5" s="63">
        <v>20</v>
      </c>
      <c r="N5" s="63">
        <v>30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-0.26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5</v>
      </c>
      <c r="L8" s="38">
        <v>5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-0.18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-10</v>
      </c>
      <c r="K9" s="38">
        <v>-10</v>
      </c>
      <c r="L9" s="38">
        <v>-10</v>
      </c>
      <c r="M9" s="38">
        <v>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4.22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-30</v>
      </c>
      <c r="K10" s="38">
        <v>-30</v>
      </c>
      <c r="L10" s="38">
        <v>-25</v>
      </c>
      <c r="M10" s="38">
        <v>-30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9.4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-35</v>
      </c>
      <c r="K11" s="38">
        <v>-35</v>
      </c>
      <c r="L11" s="38">
        <v>-30</v>
      </c>
      <c r="M11" s="38">
        <v>-35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-0.18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30</v>
      </c>
      <c r="L12" s="38">
        <v>30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0.97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10</v>
      </c>
      <c r="K13" s="38">
        <v>5</v>
      </c>
      <c r="L13" s="38">
        <v>5</v>
      </c>
      <c r="M13" s="38">
        <v>-5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0.18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5</v>
      </c>
      <c r="L14" s="44">
        <v>5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0.18</v>
      </c>
      <c r="D15" s="11">
        <v>2</v>
      </c>
      <c r="E15" s="43">
        <f t="shared" ref="E15:E18" si="1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-10</v>
      </c>
      <c r="K15" s="44">
        <v>-10</v>
      </c>
      <c r="L15" s="44">
        <v>-10</v>
      </c>
      <c r="M15" s="44">
        <v>5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-6.06</v>
      </c>
      <c r="D16" s="11">
        <v>3</v>
      </c>
      <c r="E16" s="43">
        <f t="shared" si="1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-30</v>
      </c>
      <c r="K16" s="44">
        <v>-30</v>
      </c>
      <c r="L16" s="44">
        <v>-25</v>
      </c>
      <c r="M16" s="44">
        <v>-30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9.0500000000000007</v>
      </c>
      <c r="D17" s="11">
        <v>4</v>
      </c>
      <c r="E17" s="43">
        <f t="shared" si="1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-35</v>
      </c>
      <c r="K17" s="44">
        <v>-35</v>
      </c>
      <c r="L17" s="44">
        <v>-30</v>
      </c>
      <c r="M17" s="44">
        <v>-35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0.44</v>
      </c>
      <c r="D18" s="11">
        <v>5</v>
      </c>
      <c r="E18" s="43">
        <f t="shared" si="1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30</v>
      </c>
      <c r="L18" s="44">
        <v>30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0.7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10</v>
      </c>
      <c r="K19" s="44">
        <v>5</v>
      </c>
      <c r="L19" s="44">
        <v>5</v>
      </c>
      <c r="M19" s="44">
        <v>-5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-0.09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49.13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10</v>
      </c>
      <c r="K21" s="38">
        <v>0</v>
      </c>
      <c r="L21" s="38">
        <v>-15</v>
      </c>
      <c r="M21" s="38">
        <v>-20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-0.18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10</v>
      </c>
      <c r="M22" s="38">
        <v>20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129.99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-110</v>
      </c>
      <c r="L23" s="38">
        <v>-110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129.9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-120</v>
      </c>
      <c r="L24" s="38">
        <v>-120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-49.48</v>
      </c>
      <c r="D25" s="11">
        <v>5</v>
      </c>
      <c r="E25" s="43">
        <f t="shared" ref="E25:E28" si="2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f>J21</f>
        <v>10</v>
      </c>
      <c r="K25" s="44">
        <f t="shared" ref="K25:N25" si="3">K21</f>
        <v>0</v>
      </c>
      <c r="L25" s="44">
        <f t="shared" si="3"/>
        <v>-15</v>
      </c>
      <c r="M25" s="44">
        <f t="shared" si="3"/>
        <v>-20</v>
      </c>
      <c r="N25" s="44">
        <f t="shared" si="3"/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-0.18</v>
      </c>
      <c r="D26" s="11">
        <v>6</v>
      </c>
      <c r="E26" s="43">
        <f t="shared" si="2"/>
        <v>1</v>
      </c>
      <c r="F26" s="44">
        <v>5</v>
      </c>
      <c r="G26" s="44">
        <f t="shared" ref="G26:G28" si="4">G22</f>
        <v>0</v>
      </c>
      <c r="H26" s="44">
        <v>0</v>
      </c>
      <c r="I26" s="44">
        <v>0</v>
      </c>
      <c r="J26" s="44">
        <f t="shared" ref="J26:N26" si="5">J22</f>
        <v>0</v>
      </c>
      <c r="K26" s="44">
        <f t="shared" si="5"/>
        <v>0</v>
      </c>
      <c r="L26" s="44">
        <f t="shared" si="5"/>
        <v>10</v>
      </c>
      <c r="M26" s="44">
        <f t="shared" si="5"/>
        <v>20</v>
      </c>
      <c r="N26" s="44">
        <f t="shared" si="5"/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130.08000000000001</v>
      </c>
      <c r="D27" s="11">
        <v>7</v>
      </c>
      <c r="E27" s="43">
        <f t="shared" si="2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f t="shared" ref="J27:N27" si="6">J23</f>
        <v>0</v>
      </c>
      <c r="K27" s="44">
        <f t="shared" si="6"/>
        <v>-110</v>
      </c>
      <c r="L27" s="44">
        <f t="shared" si="6"/>
        <v>-110</v>
      </c>
      <c r="M27" s="44">
        <f t="shared" si="6"/>
        <v>0</v>
      </c>
      <c r="N27" s="44">
        <f t="shared" si="6"/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129.99</v>
      </c>
      <c r="D28" s="11">
        <v>8</v>
      </c>
      <c r="E28" s="43">
        <f t="shared" si="2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f t="shared" ref="J28:N28" si="7">J24</f>
        <v>0</v>
      </c>
      <c r="K28" s="44">
        <f t="shared" si="7"/>
        <v>-120</v>
      </c>
      <c r="L28" s="44">
        <f t="shared" si="7"/>
        <v>-120</v>
      </c>
      <c r="M28" s="44">
        <f t="shared" si="7"/>
        <v>0</v>
      </c>
      <c r="N28" s="44">
        <f t="shared" si="7"/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13"/>
      <c r="B29" s="13"/>
      <c r="C29" s="13"/>
      <c r="E29" s="13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</row>
    <row r="30" spans="1:28">
      <c r="A30" s="13"/>
      <c r="B30" s="13"/>
      <c r="C30" s="13"/>
      <c r="E30" s="13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</row>
    <row r="31" spans="1:28">
      <c r="A31" s="13"/>
      <c r="B31" s="13"/>
      <c r="C31" s="13"/>
      <c r="J31" s="68"/>
      <c r="K31" s="68"/>
      <c r="L31" s="68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</row>
    <row r="32" spans="1:28">
      <c r="A32" s="13"/>
      <c r="B32" s="13"/>
      <c r="C32" s="13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</row>
    <row r="33" spans="1:26">
      <c r="A33" s="13"/>
      <c r="B33" s="13"/>
      <c r="C33" s="13"/>
      <c r="J33" s="68"/>
      <c r="K33" s="68"/>
      <c r="L33" s="68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</row>
    <row r="34" spans="1:26">
      <c r="A34" s="13"/>
      <c r="B34" s="13"/>
      <c r="C34" s="13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</row>
    <row r="35" spans="1:26">
      <c r="A35" s="13"/>
      <c r="B35" s="13"/>
      <c r="C35" s="13"/>
      <c r="J35" s="68"/>
      <c r="K35" s="68"/>
      <c r="L35" s="68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</row>
    <row r="36" spans="1:26">
      <c r="A36" s="13"/>
      <c r="B36" s="13"/>
      <c r="C36" s="13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</row>
    <row r="37" spans="1:26">
      <c r="A37" s="13"/>
      <c r="B37" s="13"/>
      <c r="C37" s="13"/>
    </row>
    <row r="38" spans="1:26">
      <c r="A38" s="13"/>
      <c r="B38" s="13"/>
      <c r="C38" s="13"/>
    </row>
    <row r="39" spans="1:26">
      <c r="A39" s="13"/>
      <c r="B39" s="13"/>
      <c r="C39" s="13"/>
    </row>
    <row r="40" spans="1:26">
      <c r="A40" s="13"/>
      <c r="B40" s="13"/>
      <c r="C40" s="13"/>
    </row>
    <row r="41" spans="1:26">
      <c r="A41" s="13"/>
      <c r="B41" s="13"/>
      <c r="C41" s="13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H8:AB8 H12:AB12 O9:AB11 O13:AB13 H14:AB19" name="入力範囲_4_1_1_1_1_1"/>
    <protectedRange sqref="E8:E13" name="入力範囲_4_1_1_1_3_1_1"/>
    <protectedRange sqref="H20:AB20" name="入力範囲_4_1_1_1_1_1_1"/>
    <protectedRange sqref="E20" name="入力範囲_4_1_1_1_3_1_1_1"/>
    <protectedRange sqref="E14:E19 E25:E28" name="入力範囲_4_1_1_1_3_1_1_2"/>
    <protectedRange sqref="H9:N11" name="入力範囲_4_1_1_1_1_1_2"/>
    <protectedRange sqref="H13:N13" name="入力範囲_4_1_1_1_1_1_3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AB51"/>
  <sheetViews>
    <sheetView tabSelected="1" zoomScale="145" zoomScaleNormal="145" workbookViewId="0">
      <selection activeCell="C32" sqref="C3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32</v>
      </c>
      <c r="L4" s="62">
        <f t="shared" si="0"/>
        <v>72</v>
      </c>
      <c r="M4" s="62">
        <f t="shared" si="0"/>
        <v>102</v>
      </c>
      <c r="N4" s="62">
        <f t="shared" si="0"/>
        <v>112</v>
      </c>
      <c r="O4" s="62">
        <f t="shared" si="0"/>
        <v>142</v>
      </c>
      <c r="P4" s="62">
        <f t="shared" si="0"/>
        <v>172</v>
      </c>
      <c r="Q4" s="62">
        <f t="shared" si="0"/>
        <v>182</v>
      </c>
      <c r="R4" s="62">
        <f t="shared" si="0"/>
        <v>212</v>
      </c>
      <c r="S4" s="62">
        <f t="shared" si="0"/>
        <v>227</v>
      </c>
      <c r="T4" s="62">
        <f t="shared" si="0"/>
        <v>237</v>
      </c>
      <c r="U4" s="62">
        <f t="shared" si="0"/>
        <v>239</v>
      </c>
      <c r="V4" s="62">
        <f t="shared" si="0"/>
        <v>241</v>
      </c>
      <c r="W4" s="62">
        <f t="shared" si="0"/>
        <v>243</v>
      </c>
      <c r="X4" s="62">
        <f t="shared" si="0"/>
        <v>268</v>
      </c>
      <c r="Y4" s="62">
        <f t="shared" si="0"/>
        <v>368</v>
      </c>
      <c r="Z4" s="62">
        <f t="shared" si="0"/>
        <v>468</v>
      </c>
      <c r="AA4" s="62">
        <f t="shared" si="0"/>
        <v>568</v>
      </c>
      <c r="AB4" s="62">
        <f t="shared" si="0"/>
        <v>668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20</v>
      </c>
      <c r="K5" s="63">
        <v>10</v>
      </c>
      <c r="L5" s="63">
        <v>10</v>
      </c>
      <c r="M5" s="63">
        <v>10</v>
      </c>
      <c r="N5" s="63">
        <v>30</v>
      </c>
      <c r="O5" s="63">
        <f>L5</f>
        <v>10</v>
      </c>
      <c r="P5" s="63">
        <f t="shared" ref="P5:Q6" si="1">M5</f>
        <v>10</v>
      </c>
      <c r="Q5" s="63">
        <f t="shared" si="1"/>
        <v>30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30</v>
      </c>
      <c r="L6" s="63">
        <v>20</v>
      </c>
      <c r="M6" s="63">
        <v>0</v>
      </c>
      <c r="N6" s="63">
        <v>0</v>
      </c>
      <c r="O6" s="63">
        <f>L6</f>
        <v>20</v>
      </c>
      <c r="P6" s="63">
        <f t="shared" si="1"/>
        <v>0</v>
      </c>
      <c r="Q6" s="63">
        <f t="shared" si="1"/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-2.11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-31.99</v>
      </c>
      <c r="D9" s="10">
        <v>2</v>
      </c>
      <c r="E9" s="37">
        <v>1</v>
      </c>
      <c r="F9" s="38">
        <v>-9.5</v>
      </c>
      <c r="G9" s="38">
        <v>0.5</v>
      </c>
      <c r="H9" s="38">
        <v>0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-29.62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-28.74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1.32</v>
      </c>
      <c r="D12" s="10">
        <v>5</v>
      </c>
      <c r="E12" s="37">
        <v>0</v>
      </c>
      <c r="F12" s="38">
        <v>5</v>
      </c>
      <c r="G12" s="38">
        <v>-1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31.99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-1.93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-33.92</v>
      </c>
      <c r="D15" s="11">
        <v>2</v>
      </c>
      <c r="E15" s="43">
        <f t="shared" ref="E15:E18" si="2">IF(E9=0,1,0)</f>
        <v>0</v>
      </c>
      <c r="F15" s="44">
        <v>-9.5</v>
      </c>
      <c r="G15" s="44">
        <v>-0.5</v>
      </c>
      <c r="H15" s="44">
        <v>0</v>
      </c>
      <c r="I15" s="44">
        <v>0</v>
      </c>
      <c r="J15" s="44">
        <v>0</v>
      </c>
      <c r="K15" s="44">
        <v>0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-28.48</v>
      </c>
      <c r="D16" s="11">
        <v>3</v>
      </c>
      <c r="E16" s="43">
        <f t="shared" si="2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0</v>
      </c>
      <c r="K16" s="44">
        <v>0</v>
      </c>
      <c r="L16" s="44">
        <v>0</v>
      </c>
      <c r="M16" s="44">
        <v>0</v>
      </c>
      <c r="N16" s="44">
        <v>0</v>
      </c>
      <c r="O16" s="44">
        <v>0</v>
      </c>
      <c r="P16" s="44">
        <v>0</v>
      </c>
      <c r="Q16" s="44">
        <v>0</v>
      </c>
      <c r="R16" s="44">
        <v>0</v>
      </c>
      <c r="S16" s="44">
        <v>0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-27.24</v>
      </c>
      <c r="D17" s="11">
        <v>4</v>
      </c>
      <c r="E17" s="43">
        <f t="shared" si="2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3.69</v>
      </c>
      <c r="D18" s="11">
        <v>5</v>
      </c>
      <c r="E18" s="43">
        <f t="shared" si="2"/>
        <v>1</v>
      </c>
      <c r="F18" s="44">
        <v>5</v>
      </c>
      <c r="G18" s="44">
        <v>1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29.71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1.93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-25</v>
      </c>
      <c r="K20" s="51">
        <v>-90</v>
      </c>
      <c r="L20" s="51">
        <v>-90</v>
      </c>
      <c r="M20" s="51">
        <v>-45</v>
      </c>
      <c r="N20" s="51">
        <v>0</v>
      </c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15.03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-50</v>
      </c>
      <c r="K21" s="38">
        <v>-50</v>
      </c>
      <c r="L21" s="38">
        <v>-50</v>
      </c>
      <c r="M21" s="38">
        <v>-50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3.69</v>
      </c>
      <c r="D22" s="10">
        <v>6</v>
      </c>
      <c r="E22" s="37">
        <v>0</v>
      </c>
      <c r="F22" s="38">
        <v>5</v>
      </c>
      <c r="G22" s="38">
        <v>0</v>
      </c>
      <c r="H22" s="38">
        <v>0</v>
      </c>
      <c r="I22" s="38">
        <v>0</v>
      </c>
      <c r="J22" s="38">
        <v>90</v>
      </c>
      <c r="K22" s="38">
        <v>90</v>
      </c>
      <c r="L22" s="38">
        <v>90</v>
      </c>
      <c r="M22" s="38">
        <v>90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34.450000000000003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15</v>
      </c>
      <c r="K23" s="38">
        <v>-125</v>
      </c>
      <c r="L23" s="38">
        <v>15</v>
      </c>
      <c r="M23" s="38">
        <v>15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20.92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15</v>
      </c>
      <c r="K24" s="38">
        <v>-125</v>
      </c>
      <c r="L24" s="38">
        <v>-265</v>
      </c>
      <c r="M24" s="38">
        <v>15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0.09</v>
      </c>
      <c r="D25" s="11">
        <v>5</v>
      </c>
      <c r="E25" s="43">
        <f t="shared" ref="E25:E28" si="3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-50</v>
      </c>
      <c r="K25" s="44">
        <v>-50</v>
      </c>
      <c r="L25" s="44">
        <v>-50</v>
      </c>
      <c r="M25" s="44">
        <v>-50</v>
      </c>
      <c r="N25" s="44">
        <v>0</v>
      </c>
      <c r="O25" s="44">
        <v>0</v>
      </c>
      <c r="P25" s="44">
        <v>0</v>
      </c>
      <c r="Q25" s="44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15.64</v>
      </c>
      <c r="D26" s="11">
        <v>6</v>
      </c>
      <c r="E26" s="43">
        <f t="shared" si="3"/>
        <v>1</v>
      </c>
      <c r="F26" s="44">
        <v>5</v>
      </c>
      <c r="G26" s="44">
        <f t="shared" ref="G26:G28" si="4">G22</f>
        <v>0</v>
      </c>
      <c r="H26" s="44">
        <v>0</v>
      </c>
      <c r="I26" s="44">
        <v>0</v>
      </c>
      <c r="J26" s="44">
        <v>90</v>
      </c>
      <c r="K26" s="44">
        <v>90</v>
      </c>
      <c r="L26" s="44">
        <v>90</v>
      </c>
      <c r="M26" s="44">
        <v>90</v>
      </c>
      <c r="N26" s="44">
        <v>0</v>
      </c>
      <c r="O26" s="44">
        <v>0</v>
      </c>
      <c r="P26" s="44">
        <v>0</v>
      </c>
      <c r="Q26" s="44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51.15</v>
      </c>
      <c r="D27" s="11">
        <v>7</v>
      </c>
      <c r="E27" s="43">
        <f t="shared" si="3"/>
        <v>0</v>
      </c>
      <c r="F27" s="44">
        <v>125</v>
      </c>
      <c r="G27" s="44">
        <f t="shared" si="4"/>
        <v>0</v>
      </c>
      <c r="H27" s="44">
        <v>0</v>
      </c>
      <c r="I27" s="44">
        <v>0</v>
      </c>
      <c r="J27" s="44">
        <v>15</v>
      </c>
      <c r="K27" s="44">
        <v>15</v>
      </c>
      <c r="L27" s="44">
        <v>15</v>
      </c>
      <c r="M27" s="44">
        <v>15</v>
      </c>
      <c r="N27" s="44">
        <v>0</v>
      </c>
      <c r="O27" s="44">
        <v>0</v>
      </c>
      <c r="P27" s="44">
        <v>0</v>
      </c>
      <c r="Q27" s="44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38.58</v>
      </c>
      <c r="D28" s="11">
        <v>8</v>
      </c>
      <c r="E28" s="43">
        <f t="shared" si="3"/>
        <v>1</v>
      </c>
      <c r="F28" s="44">
        <v>125</v>
      </c>
      <c r="G28" s="44">
        <f t="shared" si="4"/>
        <v>0</v>
      </c>
      <c r="H28" s="44">
        <v>0</v>
      </c>
      <c r="I28" s="44">
        <v>0</v>
      </c>
      <c r="J28" s="44">
        <v>15</v>
      </c>
      <c r="K28" s="44">
        <v>15</v>
      </c>
      <c r="L28" s="44">
        <v>15</v>
      </c>
      <c r="M28" s="44">
        <v>15</v>
      </c>
      <c r="N28" s="44">
        <v>0</v>
      </c>
      <c r="O28" s="44">
        <v>0</v>
      </c>
      <c r="P28" s="44">
        <v>0</v>
      </c>
      <c r="Q28" s="44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V9:AB11 V13:AB13 V15:AB17 V19:AB19 H12:AB12 H14:AB14 H8:AB8 H18:AB18" name="入力範囲_4_1_1_1_1_1"/>
    <protectedRange sqref="E8:E13" name="入力範囲_4_1_1_1_3_1_1"/>
    <protectedRange sqref="X20:AB20" name="入力範囲_4_1_1_1_1_1_1"/>
    <protectedRange sqref="E20" name="入力範囲_4_1_1_1_3_1_1_1"/>
    <protectedRange sqref="E14:E19 E25:E28" name="入力範囲_4_1_1_1_3_1_1_2"/>
    <protectedRange sqref="H20:W20" name="入力範囲_4_1_1_1_1_1_2"/>
    <protectedRange sqref="H9:U11" name="入力範囲_4_1_1_1_1_1_3"/>
    <protectedRange sqref="H15:U17" name="入力範囲_4_1_1_1_1_1_9"/>
    <protectedRange sqref="H13:U13" name="入力範囲_4_1_1_1_1_1_10"/>
    <protectedRange sqref="H19:U19" name="入力範囲_4_1_1_1_1_1_12"/>
    <protectedRange sqref="F8:G19" name="入力範囲_4_1_1_1_1_1_4_1"/>
    <protectedRange sqref="F20:G20" name="入力範囲_4_1_1_1_1_1_1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AB51"/>
  <sheetViews>
    <sheetView zoomScale="145" zoomScaleNormal="145" workbookViewId="0">
      <selection activeCell="F8" sqref="F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12</v>
      </c>
      <c r="K4" s="62">
        <f t="shared" si="0"/>
        <v>18</v>
      </c>
      <c r="L4" s="62">
        <f t="shared" si="0"/>
        <v>24</v>
      </c>
      <c r="M4" s="62">
        <f t="shared" si="0"/>
        <v>29</v>
      </c>
      <c r="N4" s="62">
        <f t="shared" si="0"/>
        <v>33</v>
      </c>
      <c r="O4" s="62">
        <f t="shared" si="0"/>
        <v>39</v>
      </c>
      <c r="P4" s="62">
        <f t="shared" si="0"/>
        <v>44</v>
      </c>
      <c r="Q4" s="62">
        <f t="shared" si="0"/>
        <v>48</v>
      </c>
      <c r="R4" s="62">
        <f t="shared" si="0"/>
        <v>54</v>
      </c>
      <c r="S4" s="62">
        <f t="shared" si="0"/>
        <v>69</v>
      </c>
      <c r="T4" s="62">
        <f t="shared" si="0"/>
        <v>79</v>
      </c>
      <c r="U4" s="62">
        <f t="shared" si="0"/>
        <v>81</v>
      </c>
      <c r="V4" s="62">
        <f t="shared" si="0"/>
        <v>83</v>
      </c>
      <c r="W4" s="62">
        <f t="shared" si="0"/>
        <v>85</v>
      </c>
      <c r="X4" s="62">
        <f t="shared" si="0"/>
        <v>110</v>
      </c>
      <c r="Y4" s="62">
        <f t="shared" si="0"/>
        <v>210</v>
      </c>
      <c r="Z4" s="62">
        <f t="shared" si="0"/>
        <v>310</v>
      </c>
      <c r="AA4" s="62">
        <f t="shared" si="0"/>
        <v>410</v>
      </c>
      <c r="AB4" s="62">
        <f t="shared" si="0"/>
        <v>510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</v>
      </c>
      <c r="J5" s="63">
        <v>6</v>
      </c>
      <c r="K5" s="63">
        <v>0</v>
      </c>
      <c r="L5" s="63">
        <v>5</v>
      </c>
      <c r="M5" s="63">
        <v>4</v>
      </c>
      <c r="N5" s="63">
        <v>0</v>
      </c>
      <c r="O5" s="63">
        <f>L5</f>
        <v>5</v>
      </c>
      <c r="P5" s="63">
        <f t="shared" ref="P5:Q6" si="1">M5</f>
        <v>4</v>
      </c>
      <c r="Q5" s="63">
        <f t="shared" si="1"/>
        <v>0</v>
      </c>
      <c r="R5" s="63">
        <v>15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6</v>
      </c>
      <c r="L6" s="63">
        <v>0</v>
      </c>
      <c r="M6" s="63">
        <v>0</v>
      </c>
      <c r="N6" s="63">
        <v>6</v>
      </c>
      <c r="O6" s="63">
        <f>L6</f>
        <v>0</v>
      </c>
      <c r="P6" s="63">
        <f t="shared" si="1"/>
        <v>0</v>
      </c>
      <c r="Q6" s="63">
        <f t="shared" si="1"/>
        <v>6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1</v>
      </c>
      <c r="J7" s="33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96</v>
      </c>
      <c r="B8" s="35">
        <v>10</v>
      </c>
      <c r="C8" s="91">
        <v>-2.11</v>
      </c>
      <c r="D8" s="10">
        <v>1</v>
      </c>
      <c r="E8" s="37">
        <v>0</v>
      </c>
      <c r="F8" s="38">
        <v>-2</v>
      </c>
      <c r="G8" s="38">
        <v>0</v>
      </c>
      <c r="H8" s="38">
        <v>0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97">
        <f>L14</f>
        <v>0</v>
      </c>
      <c r="P8" s="97">
        <f t="shared" ref="P8:Q12" si="2">M14</f>
        <v>0</v>
      </c>
      <c r="Q8" s="97">
        <f t="shared" si="2"/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97</v>
      </c>
      <c r="B9" s="35">
        <v>9</v>
      </c>
      <c r="C9" s="91">
        <v>-31.99</v>
      </c>
      <c r="D9" s="10">
        <v>2</v>
      </c>
      <c r="E9" s="37">
        <v>1</v>
      </c>
      <c r="F9" s="38">
        <v>-7.5</v>
      </c>
      <c r="G9" s="38">
        <v>-0.5</v>
      </c>
      <c r="H9" s="38">
        <v>0</v>
      </c>
      <c r="I9" s="38">
        <v>0</v>
      </c>
      <c r="J9" s="38">
        <v>16</v>
      </c>
      <c r="K9" s="38">
        <v>-6</v>
      </c>
      <c r="L9" s="38">
        <v>0</v>
      </c>
      <c r="M9" s="38">
        <v>-3</v>
      </c>
      <c r="N9" s="51">
        <v>-16</v>
      </c>
      <c r="O9" s="97">
        <f t="shared" ref="O9:O12" si="3">L15</f>
        <v>3</v>
      </c>
      <c r="P9" s="97">
        <f t="shared" si="2"/>
        <v>14</v>
      </c>
      <c r="Q9" s="97">
        <f t="shared" si="2"/>
        <v>10</v>
      </c>
      <c r="R9" s="38">
        <v>7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98</v>
      </c>
      <c r="B10" s="39">
        <v>8</v>
      </c>
      <c r="C10" s="91">
        <v>-29.62</v>
      </c>
      <c r="D10" s="10">
        <v>3</v>
      </c>
      <c r="E10" s="37">
        <v>1</v>
      </c>
      <c r="F10" s="38">
        <v>11</v>
      </c>
      <c r="G10" s="38">
        <v>-1</v>
      </c>
      <c r="H10" s="38">
        <v>0</v>
      </c>
      <c r="I10" s="38">
        <v>0</v>
      </c>
      <c r="J10" s="38">
        <v>-4</v>
      </c>
      <c r="K10" s="38">
        <v>-8</v>
      </c>
      <c r="L10" s="38">
        <v>-3</v>
      </c>
      <c r="M10" s="38">
        <v>-3</v>
      </c>
      <c r="N10" s="38">
        <v>-30</v>
      </c>
      <c r="O10" s="97">
        <f t="shared" si="3"/>
        <v>25</v>
      </c>
      <c r="P10" s="97">
        <f t="shared" si="2"/>
        <v>7</v>
      </c>
      <c r="Q10" s="97">
        <f t="shared" si="2"/>
        <v>-4</v>
      </c>
      <c r="R10" s="38">
        <v>49</v>
      </c>
      <c r="S10" s="38">
        <v>-6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7</v>
      </c>
      <c r="C11" s="91">
        <v>-28.74</v>
      </c>
      <c r="D11" s="10">
        <v>4</v>
      </c>
      <c r="E11" s="37">
        <v>0</v>
      </c>
      <c r="F11" s="38">
        <v>6</v>
      </c>
      <c r="G11" s="38">
        <v>-1</v>
      </c>
      <c r="H11" s="38">
        <v>0</v>
      </c>
      <c r="I11" s="38">
        <v>0</v>
      </c>
      <c r="J11" s="38">
        <v>4</v>
      </c>
      <c r="K11" s="38">
        <v>14</v>
      </c>
      <c r="L11" s="38">
        <v>16</v>
      </c>
      <c r="M11" s="38">
        <v>31</v>
      </c>
      <c r="N11" s="38">
        <v>-34</v>
      </c>
      <c r="O11" s="97">
        <f t="shared" si="3"/>
        <v>-34</v>
      </c>
      <c r="P11" s="97">
        <f t="shared" si="2"/>
        <v>-9</v>
      </c>
      <c r="Q11" s="97">
        <f t="shared" si="2"/>
        <v>1</v>
      </c>
      <c r="R11" s="38">
        <v>-24</v>
      </c>
      <c r="S11" s="38">
        <v>-14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34" t="s">
        <v>105</v>
      </c>
      <c r="B12" s="35">
        <v>6</v>
      </c>
      <c r="C12" s="91">
        <v>1.32</v>
      </c>
      <c r="D12" s="10">
        <v>5</v>
      </c>
      <c r="E12" s="37">
        <v>0</v>
      </c>
      <c r="F12" s="38">
        <v>4</v>
      </c>
      <c r="G12" s="38">
        <v>-2</v>
      </c>
      <c r="H12" s="38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97">
        <f t="shared" si="3"/>
        <v>0</v>
      </c>
      <c r="P12" s="97">
        <f t="shared" si="2"/>
        <v>0</v>
      </c>
      <c r="Q12" s="97">
        <f t="shared" si="2"/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Y12" s="38">
        <v>0</v>
      </c>
      <c r="Z12" s="38">
        <v>0</v>
      </c>
      <c r="AA12" s="38">
        <v>0</v>
      </c>
      <c r="AB12" s="38">
        <v>0</v>
      </c>
    </row>
    <row r="13" spans="1:28">
      <c r="A13" s="34" t="s">
        <v>106</v>
      </c>
      <c r="B13" s="35">
        <v>2</v>
      </c>
      <c r="C13" s="91">
        <v>31.99</v>
      </c>
      <c r="D13" s="10">
        <v>6</v>
      </c>
      <c r="E13" s="37">
        <v>1</v>
      </c>
      <c r="F13" s="38">
        <v>10</v>
      </c>
      <c r="G13" s="38">
        <v>-1</v>
      </c>
      <c r="H13" s="38">
        <v>0</v>
      </c>
      <c r="I13" s="38">
        <v>0</v>
      </c>
      <c r="J13" s="38">
        <v>-6</v>
      </c>
      <c r="K13" s="38">
        <v>-2</v>
      </c>
      <c r="L13" s="38">
        <v>2</v>
      </c>
      <c r="M13" s="38">
        <v>6</v>
      </c>
      <c r="N13" s="38">
        <v>8</v>
      </c>
      <c r="O13" s="97">
        <f t="shared" ref="O13" si="4">L19</f>
        <v>2</v>
      </c>
      <c r="P13" s="97">
        <f t="shared" ref="P13" si="5">M19</f>
        <v>-2</v>
      </c>
      <c r="Q13" s="97">
        <f t="shared" ref="Q13" si="6">N19</f>
        <v>-2</v>
      </c>
      <c r="R13" s="38">
        <v>-5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Y13" s="38">
        <v>0</v>
      </c>
      <c r="Z13" s="38">
        <v>0</v>
      </c>
      <c r="AA13" s="38">
        <v>0</v>
      </c>
      <c r="AB13" s="38">
        <v>0</v>
      </c>
    </row>
    <row r="14" spans="1:28" s="89" customFormat="1">
      <c r="A14" s="40" t="s">
        <v>99</v>
      </c>
      <c r="B14" s="45">
        <v>15</v>
      </c>
      <c r="C14" s="92">
        <v>-1.93</v>
      </c>
      <c r="D14" s="11">
        <v>1</v>
      </c>
      <c r="E14" s="43">
        <f>IF(E8=0,1,0)</f>
        <v>1</v>
      </c>
      <c r="F14" s="44">
        <v>-2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0</v>
      </c>
      <c r="M14" s="44">
        <v>0</v>
      </c>
      <c r="N14" s="44">
        <v>0</v>
      </c>
      <c r="O14" s="97">
        <f>L8</f>
        <v>0</v>
      </c>
      <c r="P14" s="97">
        <f t="shared" ref="O14:Q19" si="7">M8</f>
        <v>0</v>
      </c>
      <c r="Q14" s="97">
        <f t="shared" si="7"/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 s="89" customFormat="1">
      <c r="A15" s="40" t="s">
        <v>100</v>
      </c>
      <c r="B15" s="45">
        <v>14</v>
      </c>
      <c r="C15" s="92">
        <v>-33.92</v>
      </c>
      <c r="D15" s="11">
        <v>2</v>
      </c>
      <c r="E15" s="43">
        <f t="shared" ref="E15:E18" si="8">IF(E9=0,1,0)</f>
        <v>0</v>
      </c>
      <c r="F15" s="44">
        <v>-7.5</v>
      </c>
      <c r="G15" s="44">
        <v>0.5</v>
      </c>
      <c r="H15" s="44">
        <v>0</v>
      </c>
      <c r="I15" s="44">
        <v>0</v>
      </c>
      <c r="J15" s="44">
        <v>-10</v>
      </c>
      <c r="K15" s="44">
        <v>-4</v>
      </c>
      <c r="L15" s="44">
        <v>3</v>
      </c>
      <c r="M15" s="44">
        <v>14</v>
      </c>
      <c r="N15" s="44">
        <v>10</v>
      </c>
      <c r="O15" s="97">
        <f t="shared" si="7"/>
        <v>0</v>
      </c>
      <c r="P15" s="97">
        <f t="shared" si="7"/>
        <v>-3</v>
      </c>
      <c r="Q15" s="97">
        <f t="shared" si="7"/>
        <v>-16</v>
      </c>
      <c r="R15" s="44">
        <v>2</v>
      </c>
      <c r="S15" s="44">
        <v>2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 s="89" customFormat="1">
      <c r="A16" s="40" t="s">
        <v>101</v>
      </c>
      <c r="B16" s="41">
        <v>13</v>
      </c>
      <c r="C16" s="92">
        <v>-28.48</v>
      </c>
      <c r="D16" s="11">
        <v>3</v>
      </c>
      <c r="E16" s="43">
        <f t="shared" si="8"/>
        <v>0</v>
      </c>
      <c r="F16" s="44">
        <v>11</v>
      </c>
      <c r="G16" s="44">
        <v>1</v>
      </c>
      <c r="H16" s="44">
        <v>0</v>
      </c>
      <c r="I16" s="44">
        <v>0</v>
      </c>
      <c r="J16" s="44">
        <v>6</v>
      </c>
      <c r="K16" s="44">
        <v>-30</v>
      </c>
      <c r="L16" s="44">
        <v>25</v>
      </c>
      <c r="M16" s="44">
        <v>7</v>
      </c>
      <c r="N16" s="44">
        <v>-4</v>
      </c>
      <c r="O16" s="97">
        <f t="shared" ref="O16:O19" si="9">L10</f>
        <v>-3</v>
      </c>
      <c r="P16" s="97">
        <f t="shared" si="7"/>
        <v>-3</v>
      </c>
      <c r="Q16" s="97">
        <f t="shared" si="7"/>
        <v>-30</v>
      </c>
      <c r="R16" s="44">
        <v>19</v>
      </c>
      <c r="S16" s="44">
        <v>4</v>
      </c>
      <c r="T16" s="44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</row>
    <row r="17" spans="1:28" s="89" customFormat="1">
      <c r="A17" s="40" t="s">
        <v>102</v>
      </c>
      <c r="B17" s="45">
        <v>12</v>
      </c>
      <c r="C17" s="92">
        <v>-27.24</v>
      </c>
      <c r="D17" s="11">
        <v>4</v>
      </c>
      <c r="E17" s="43">
        <f t="shared" si="8"/>
        <v>1</v>
      </c>
      <c r="F17" s="44">
        <v>6</v>
      </c>
      <c r="G17" s="44">
        <v>1</v>
      </c>
      <c r="H17" s="44">
        <v>0</v>
      </c>
      <c r="I17" s="44">
        <v>0</v>
      </c>
      <c r="J17" s="44">
        <v>16</v>
      </c>
      <c r="K17" s="51">
        <v>-34</v>
      </c>
      <c r="L17" s="51">
        <v>-34</v>
      </c>
      <c r="M17" s="44">
        <v>-9</v>
      </c>
      <c r="N17" s="44">
        <v>1</v>
      </c>
      <c r="O17" s="97">
        <f t="shared" si="9"/>
        <v>16</v>
      </c>
      <c r="P17" s="97">
        <f t="shared" si="7"/>
        <v>31</v>
      </c>
      <c r="Q17" s="97">
        <f t="shared" si="7"/>
        <v>-34</v>
      </c>
      <c r="R17" s="44">
        <v>-14</v>
      </c>
      <c r="S17" s="44">
        <v>-9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 s="89" customFormat="1">
      <c r="A18" s="40" t="s">
        <v>104</v>
      </c>
      <c r="B18" s="45">
        <v>11</v>
      </c>
      <c r="C18" s="92">
        <v>3.69</v>
      </c>
      <c r="D18" s="11">
        <v>5</v>
      </c>
      <c r="E18" s="43">
        <f t="shared" si="8"/>
        <v>1</v>
      </c>
      <c r="F18" s="44">
        <v>4</v>
      </c>
      <c r="G18" s="44">
        <v>2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97">
        <f t="shared" si="9"/>
        <v>0</v>
      </c>
      <c r="P18" s="97">
        <f t="shared" si="7"/>
        <v>0</v>
      </c>
      <c r="Q18" s="97">
        <f t="shared" si="7"/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 s="89" customFormat="1">
      <c r="A19" s="40" t="s">
        <v>103</v>
      </c>
      <c r="B19" s="45">
        <v>3</v>
      </c>
      <c r="C19" s="92">
        <v>29.71</v>
      </c>
      <c r="D19" s="11">
        <v>6</v>
      </c>
      <c r="E19" s="43">
        <f>E13</f>
        <v>1</v>
      </c>
      <c r="F19" s="44">
        <v>10</v>
      </c>
      <c r="G19" s="44">
        <v>1</v>
      </c>
      <c r="H19" s="44">
        <v>0</v>
      </c>
      <c r="I19" s="44">
        <v>0</v>
      </c>
      <c r="J19" s="44">
        <v>7</v>
      </c>
      <c r="K19" s="44">
        <v>6</v>
      </c>
      <c r="L19" s="44">
        <v>2</v>
      </c>
      <c r="M19" s="44">
        <v>-2</v>
      </c>
      <c r="N19" s="44">
        <v>-2</v>
      </c>
      <c r="O19" s="97">
        <f t="shared" si="9"/>
        <v>2</v>
      </c>
      <c r="P19" s="97">
        <f t="shared" si="7"/>
        <v>6</v>
      </c>
      <c r="Q19" s="97">
        <f t="shared" si="7"/>
        <v>8</v>
      </c>
      <c r="R19" s="44">
        <v>3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7" t="s">
        <v>107</v>
      </c>
      <c r="B20" s="48">
        <v>1</v>
      </c>
      <c r="C20" s="90">
        <v>1.93</v>
      </c>
      <c r="D20" s="12" t="s">
        <v>45</v>
      </c>
      <c r="E20" s="50">
        <v>1</v>
      </c>
      <c r="F20" s="51">
        <v>1</v>
      </c>
      <c r="G20" s="51">
        <v>0</v>
      </c>
      <c r="H20" s="51">
        <v>0</v>
      </c>
      <c r="I20" s="51">
        <v>0</v>
      </c>
      <c r="J20" s="51">
        <v>10</v>
      </c>
      <c r="K20" s="51">
        <v>8</v>
      </c>
      <c r="L20" s="51">
        <v>-5</v>
      </c>
      <c r="M20" s="51">
        <v>-10</v>
      </c>
      <c r="N20" s="51">
        <v>-8</v>
      </c>
      <c r="O20" s="97">
        <f>-L20</f>
        <v>5</v>
      </c>
      <c r="P20" s="97">
        <f t="shared" ref="P20:Q20" si="10">-M20</f>
        <v>10</v>
      </c>
      <c r="Q20" s="97">
        <f t="shared" si="10"/>
        <v>8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</row>
    <row r="21" spans="1:28">
      <c r="A21" s="34" t="s">
        <v>16</v>
      </c>
      <c r="B21" s="39">
        <v>4</v>
      </c>
      <c r="C21" s="91">
        <v>15.03</v>
      </c>
      <c r="D21" s="10">
        <v>5</v>
      </c>
      <c r="E21" s="37">
        <v>0</v>
      </c>
      <c r="F21" s="38">
        <v>50</v>
      </c>
      <c r="G21" s="38">
        <v>0</v>
      </c>
      <c r="H21" s="38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97">
        <v>0</v>
      </c>
      <c r="P21" s="97">
        <v>0</v>
      </c>
      <c r="Q21" s="97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>
        <v>0</v>
      </c>
      <c r="AB21" s="38">
        <v>0</v>
      </c>
    </row>
    <row r="22" spans="1:28">
      <c r="A22" s="34" t="s">
        <v>17</v>
      </c>
      <c r="B22" s="35">
        <v>16</v>
      </c>
      <c r="C22" s="91">
        <v>3.69</v>
      </c>
      <c r="D22" s="10">
        <v>6</v>
      </c>
      <c r="E22" s="37">
        <v>0</v>
      </c>
      <c r="F22" s="38">
        <v>0</v>
      </c>
      <c r="G22" s="38">
        <v>0</v>
      </c>
      <c r="H22" s="38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97">
        <v>0</v>
      </c>
      <c r="P22" s="97">
        <v>0</v>
      </c>
      <c r="Q22" s="97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Y22" s="38">
        <v>0</v>
      </c>
      <c r="Z22" s="38">
        <v>0</v>
      </c>
      <c r="AA22" s="38">
        <v>0</v>
      </c>
      <c r="AB22" s="38">
        <v>0</v>
      </c>
    </row>
    <row r="23" spans="1:28">
      <c r="A23" s="34" t="s">
        <v>19</v>
      </c>
      <c r="B23" s="35">
        <v>18</v>
      </c>
      <c r="C23" s="91">
        <v>34.450000000000003</v>
      </c>
      <c r="D23" s="10">
        <v>7</v>
      </c>
      <c r="E23" s="37">
        <v>1</v>
      </c>
      <c r="F23" s="38">
        <v>125</v>
      </c>
      <c r="G23" s="38">
        <v>0</v>
      </c>
      <c r="H23" s="38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97">
        <v>0</v>
      </c>
      <c r="P23" s="97">
        <v>0</v>
      </c>
      <c r="Q23" s="97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>
        <v>0</v>
      </c>
      <c r="AB23" s="38">
        <v>0</v>
      </c>
    </row>
    <row r="24" spans="1:28">
      <c r="A24" s="34" t="s">
        <v>18</v>
      </c>
      <c r="B24" s="35">
        <v>17</v>
      </c>
      <c r="C24" s="91">
        <v>20.92</v>
      </c>
      <c r="D24" s="10">
        <v>8</v>
      </c>
      <c r="E24" s="37">
        <v>0</v>
      </c>
      <c r="F24" s="38">
        <v>125</v>
      </c>
      <c r="G24" s="38">
        <v>0</v>
      </c>
      <c r="H24" s="38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97">
        <v>0</v>
      </c>
      <c r="P24" s="97">
        <v>0</v>
      </c>
      <c r="Q24" s="97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0</v>
      </c>
      <c r="Y24" s="38">
        <v>0</v>
      </c>
      <c r="Z24" s="38">
        <v>0</v>
      </c>
      <c r="AA24" s="38">
        <v>0</v>
      </c>
      <c r="AB24" s="38">
        <v>0</v>
      </c>
    </row>
    <row r="25" spans="1:28">
      <c r="A25" s="40" t="s">
        <v>20</v>
      </c>
      <c r="B25" s="45">
        <v>5</v>
      </c>
      <c r="C25" s="92">
        <v>0.09</v>
      </c>
      <c r="D25" s="11">
        <v>5</v>
      </c>
      <c r="E25" s="43">
        <f t="shared" ref="E25:E28" si="11">IF(E21=0,1,0)</f>
        <v>1</v>
      </c>
      <c r="F25" s="44">
        <v>50</v>
      </c>
      <c r="G25" s="44">
        <f>G21</f>
        <v>0</v>
      </c>
      <c r="H25" s="44">
        <v>0</v>
      </c>
      <c r="I25" s="44">
        <v>0</v>
      </c>
      <c r="J25" s="44">
        <v>0</v>
      </c>
      <c r="K25" s="44">
        <v>0</v>
      </c>
      <c r="L25" s="44">
        <v>0</v>
      </c>
      <c r="M25" s="44">
        <v>0</v>
      </c>
      <c r="N25" s="44">
        <v>0</v>
      </c>
      <c r="O25" s="97">
        <v>0</v>
      </c>
      <c r="P25" s="97">
        <v>0</v>
      </c>
      <c r="Q25" s="97">
        <v>0</v>
      </c>
      <c r="R25" s="44">
        <v>0</v>
      </c>
      <c r="S25" s="44">
        <v>0</v>
      </c>
      <c r="T25" s="44">
        <v>0</v>
      </c>
      <c r="U25" s="44">
        <v>0</v>
      </c>
      <c r="V25" s="44">
        <v>0</v>
      </c>
      <c r="W25" s="44">
        <v>0</v>
      </c>
      <c r="X25" s="44">
        <v>0</v>
      </c>
      <c r="Y25" s="44">
        <v>0</v>
      </c>
      <c r="Z25" s="44">
        <v>0</v>
      </c>
      <c r="AA25" s="44">
        <v>0</v>
      </c>
      <c r="AB25" s="44">
        <v>0</v>
      </c>
    </row>
    <row r="26" spans="1:28">
      <c r="A26" s="40" t="s">
        <v>21</v>
      </c>
      <c r="B26" s="45">
        <v>19</v>
      </c>
      <c r="C26" s="92">
        <v>15.64</v>
      </c>
      <c r="D26" s="11">
        <v>6</v>
      </c>
      <c r="E26" s="43">
        <f t="shared" si="11"/>
        <v>1</v>
      </c>
      <c r="F26" s="44">
        <v>2</v>
      </c>
      <c r="G26" s="44">
        <f t="shared" ref="G26:G28" si="12">G22</f>
        <v>0</v>
      </c>
      <c r="H26" s="44">
        <v>0</v>
      </c>
      <c r="I26" s="44">
        <v>0</v>
      </c>
      <c r="J26" s="44">
        <v>0</v>
      </c>
      <c r="K26" s="44">
        <v>0</v>
      </c>
      <c r="L26" s="44">
        <v>0</v>
      </c>
      <c r="M26" s="44">
        <v>0</v>
      </c>
      <c r="N26" s="44">
        <v>0</v>
      </c>
      <c r="O26" s="97">
        <v>0</v>
      </c>
      <c r="P26" s="97">
        <v>0</v>
      </c>
      <c r="Q26" s="97">
        <v>0</v>
      </c>
      <c r="R26" s="44">
        <v>0</v>
      </c>
      <c r="S26" s="44">
        <v>0</v>
      </c>
      <c r="T26" s="44">
        <v>0</v>
      </c>
      <c r="U26" s="44">
        <v>0</v>
      </c>
      <c r="V26" s="44">
        <v>0</v>
      </c>
      <c r="W26" s="44">
        <v>0</v>
      </c>
      <c r="X26" s="44">
        <v>0</v>
      </c>
      <c r="Y26" s="44">
        <v>0</v>
      </c>
      <c r="Z26" s="44">
        <v>0</v>
      </c>
      <c r="AA26" s="44">
        <v>0</v>
      </c>
      <c r="AB26" s="44">
        <v>0</v>
      </c>
    </row>
    <row r="27" spans="1:28">
      <c r="A27" s="40" t="s">
        <v>22</v>
      </c>
      <c r="B27" s="45">
        <v>21</v>
      </c>
      <c r="C27" s="92">
        <v>51.15</v>
      </c>
      <c r="D27" s="11">
        <v>7</v>
      </c>
      <c r="E27" s="43">
        <f t="shared" si="11"/>
        <v>0</v>
      </c>
      <c r="F27" s="44">
        <v>125</v>
      </c>
      <c r="G27" s="44">
        <f t="shared" si="12"/>
        <v>0</v>
      </c>
      <c r="H27" s="44">
        <v>0</v>
      </c>
      <c r="I27" s="44">
        <v>0</v>
      </c>
      <c r="J27" s="44">
        <v>0</v>
      </c>
      <c r="K27" s="44">
        <v>0</v>
      </c>
      <c r="L27" s="44">
        <v>0</v>
      </c>
      <c r="M27" s="44">
        <v>0</v>
      </c>
      <c r="N27" s="44">
        <v>0</v>
      </c>
      <c r="O27" s="97">
        <v>0</v>
      </c>
      <c r="P27" s="97">
        <v>0</v>
      </c>
      <c r="Q27" s="97">
        <v>0</v>
      </c>
      <c r="R27" s="44">
        <v>0</v>
      </c>
      <c r="S27" s="44">
        <v>0</v>
      </c>
      <c r="T27" s="44">
        <v>0</v>
      </c>
      <c r="U27" s="44">
        <v>0</v>
      </c>
      <c r="V27" s="44">
        <v>0</v>
      </c>
      <c r="W27" s="44">
        <v>0</v>
      </c>
      <c r="X27" s="44">
        <v>0</v>
      </c>
      <c r="Y27" s="44">
        <v>0</v>
      </c>
      <c r="Z27" s="44">
        <v>0</v>
      </c>
      <c r="AA27" s="44">
        <v>0</v>
      </c>
      <c r="AB27" s="44">
        <v>0</v>
      </c>
    </row>
    <row r="28" spans="1:28">
      <c r="A28" s="40" t="s">
        <v>35</v>
      </c>
      <c r="B28" s="45">
        <v>20</v>
      </c>
      <c r="C28" s="92">
        <v>38.58</v>
      </c>
      <c r="D28" s="11">
        <v>8</v>
      </c>
      <c r="E28" s="43">
        <f t="shared" si="11"/>
        <v>1</v>
      </c>
      <c r="F28" s="44">
        <v>125</v>
      </c>
      <c r="G28" s="44">
        <f t="shared" si="12"/>
        <v>0</v>
      </c>
      <c r="H28" s="44">
        <v>0</v>
      </c>
      <c r="I28" s="44">
        <v>0</v>
      </c>
      <c r="J28" s="44">
        <v>0</v>
      </c>
      <c r="K28" s="44">
        <v>0</v>
      </c>
      <c r="L28" s="44">
        <v>0</v>
      </c>
      <c r="M28" s="44">
        <v>0</v>
      </c>
      <c r="N28" s="44">
        <v>0</v>
      </c>
      <c r="O28" s="97">
        <v>0</v>
      </c>
      <c r="P28" s="97">
        <v>0</v>
      </c>
      <c r="Q28" s="97">
        <v>0</v>
      </c>
      <c r="R28" s="44">
        <v>0</v>
      </c>
      <c r="S28" s="44">
        <v>0</v>
      </c>
      <c r="T28" s="44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4">
        <v>0</v>
      </c>
      <c r="AB28" s="44">
        <v>0</v>
      </c>
    </row>
    <row r="29" spans="1:28">
      <c r="A29" s="93"/>
      <c r="B29" s="93"/>
      <c r="C29" s="93"/>
      <c r="D29" s="94"/>
      <c r="E29" s="93"/>
      <c r="F29" s="94"/>
      <c r="G29" s="94"/>
      <c r="H29" s="94"/>
      <c r="I29" s="94"/>
      <c r="J29" s="38">
        <f>J50+I50</f>
        <v>0</v>
      </c>
      <c r="K29" s="38">
        <f t="shared" ref="K29" si="13">K50+J50</f>
        <v>0</v>
      </c>
      <c r="L29" s="38">
        <f t="shared" ref="L29" si="14">L50+K50</f>
        <v>0</v>
      </c>
      <c r="M29" s="38">
        <f t="shared" ref="M29" si="15">M50+L50</f>
        <v>0</v>
      </c>
      <c r="N29" s="38">
        <f t="shared" ref="N29" si="16">N50+M50</f>
        <v>0</v>
      </c>
      <c r="O29" s="97">
        <f t="shared" ref="O29" si="17">O50+N50</f>
        <v>0</v>
      </c>
      <c r="P29" s="97">
        <f t="shared" ref="P29" si="18">P50+O50</f>
        <v>0</v>
      </c>
      <c r="Q29" s="97">
        <f t="shared" ref="Q29" si="19">Q50+P50</f>
        <v>0</v>
      </c>
      <c r="R29" s="38">
        <f t="shared" ref="R29" si="20">R50+Q50</f>
        <v>0</v>
      </c>
      <c r="S29" s="38">
        <f t="shared" ref="S29" si="21">S50+R50</f>
        <v>0</v>
      </c>
      <c r="T29" s="95"/>
      <c r="U29" s="68"/>
      <c r="V29" s="68"/>
      <c r="W29" s="68"/>
      <c r="X29" s="68"/>
      <c r="Y29" s="68"/>
      <c r="Z29" s="68"/>
    </row>
    <row r="30" spans="1:28">
      <c r="A30" s="93"/>
      <c r="B30" s="93"/>
      <c r="C30" s="93"/>
      <c r="D30" s="94"/>
      <c r="E30" s="93"/>
      <c r="F30" s="94"/>
      <c r="G30" s="94"/>
      <c r="H30" s="94"/>
      <c r="I30" s="94"/>
      <c r="J30" s="38">
        <v>25</v>
      </c>
      <c r="K30" s="38">
        <v>7</v>
      </c>
      <c r="L30" s="38">
        <v>7</v>
      </c>
      <c r="M30" s="38">
        <v>-3</v>
      </c>
      <c r="N30" s="38">
        <v>-3</v>
      </c>
      <c r="O30" s="38">
        <v>2</v>
      </c>
      <c r="P30" s="38">
        <v>2</v>
      </c>
      <c r="Q30" s="38">
        <v>10</v>
      </c>
      <c r="R30" s="38">
        <v>7</v>
      </c>
      <c r="S30" s="38">
        <v>0</v>
      </c>
      <c r="T30" s="95"/>
      <c r="U30" s="68"/>
      <c r="V30" s="68"/>
      <c r="W30" s="68"/>
      <c r="X30" s="68"/>
      <c r="Y30" s="68"/>
      <c r="Z30" s="68"/>
    </row>
    <row r="31" spans="1:28">
      <c r="A31" s="93"/>
      <c r="B31" s="93"/>
      <c r="C31" s="93"/>
      <c r="D31" s="94"/>
      <c r="E31" s="94"/>
      <c r="F31" s="94"/>
      <c r="G31" s="94"/>
      <c r="H31" s="94"/>
      <c r="I31" s="96">
        <v>9</v>
      </c>
      <c r="J31" s="38">
        <v>-20</v>
      </c>
      <c r="K31" s="38">
        <v>-12</v>
      </c>
      <c r="L31" s="38">
        <v>-12</v>
      </c>
      <c r="M31" s="38">
        <v>-15</v>
      </c>
      <c r="N31" s="38">
        <v>-37</v>
      </c>
      <c r="O31" s="38">
        <v>10</v>
      </c>
      <c r="P31" s="38">
        <v>-5</v>
      </c>
      <c r="Q31" s="38">
        <v>-5</v>
      </c>
      <c r="R31" s="38">
        <v>40</v>
      </c>
      <c r="S31" s="38">
        <v>-15</v>
      </c>
      <c r="T31" s="95"/>
      <c r="U31" s="68"/>
      <c r="V31" s="68"/>
      <c r="W31" s="68"/>
      <c r="X31" s="68"/>
      <c r="Y31" s="68"/>
      <c r="Z31" s="68"/>
    </row>
    <row r="32" spans="1:28">
      <c r="A32" s="93"/>
      <c r="B32" s="93"/>
      <c r="C32" s="93"/>
      <c r="D32" s="94"/>
      <c r="E32" s="94"/>
      <c r="F32" s="94"/>
      <c r="G32" s="94"/>
      <c r="H32" s="94"/>
      <c r="I32" s="96">
        <f>-I31</f>
        <v>-9</v>
      </c>
      <c r="J32" s="38">
        <v>30</v>
      </c>
      <c r="K32" s="38">
        <v>25</v>
      </c>
      <c r="L32" s="38">
        <v>25</v>
      </c>
      <c r="M32" s="38">
        <v>37</v>
      </c>
      <c r="N32" s="38">
        <v>-23</v>
      </c>
      <c r="O32" s="38">
        <v>-5</v>
      </c>
      <c r="P32" s="38">
        <v>0</v>
      </c>
      <c r="Q32" s="38">
        <v>15</v>
      </c>
      <c r="R32" s="38">
        <v>-15</v>
      </c>
      <c r="S32" s="38">
        <v>-5</v>
      </c>
      <c r="T32" s="95"/>
      <c r="U32" s="68"/>
      <c r="V32" s="68"/>
      <c r="W32" s="68"/>
      <c r="X32" s="68"/>
      <c r="Y32" s="68"/>
      <c r="Z32" s="68"/>
    </row>
    <row r="33" spans="1:26">
      <c r="A33" s="93"/>
      <c r="B33" s="93"/>
      <c r="C33" s="93"/>
      <c r="D33" s="94"/>
      <c r="E33" s="94"/>
      <c r="F33" s="94"/>
      <c r="G33" s="94"/>
      <c r="H33" s="94"/>
      <c r="I33" s="94"/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95"/>
      <c r="U33" s="68"/>
      <c r="V33" s="68"/>
      <c r="W33" s="68"/>
      <c r="X33" s="68"/>
      <c r="Y33" s="68"/>
      <c r="Z33" s="68"/>
    </row>
    <row r="34" spans="1:26">
      <c r="A34" s="93"/>
      <c r="B34" s="93"/>
      <c r="C34" s="93"/>
      <c r="D34" s="94"/>
      <c r="E34" s="94"/>
      <c r="F34" s="94"/>
      <c r="G34" s="94"/>
      <c r="H34" s="94"/>
      <c r="I34" s="94"/>
      <c r="J34" s="38">
        <v>-20</v>
      </c>
      <c r="K34" s="38">
        <v>-7</v>
      </c>
      <c r="L34" s="38">
        <v>-7</v>
      </c>
      <c r="M34" s="38">
        <v>-12</v>
      </c>
      <c r="N34" s="38">
        <v>5</v>
      </c>
      <c r="O34" s="38">
        <v>3</v>
      </c>
      <c r="P34" s="38">
        <v>0</v>
      </c>
      <c r="Q34" s="38">
        <v>-7</v>
      </c>
      <c r="R34" s="38">
        <v>-7</v>
      </c>
      <c r="S34" s="38">
        <v>0</v>
      </c>
      <c r="T34" s="95"/>
      <c r="U34" s="68"/>
      <c r="V34" s="68"/>
      <c r="W34" s="68"/>
      <c r="X34" s="68"/>
      <c r="Y34" s="68"/>
      <c r="Z34" s="68"/>
    </row>
    <row r="35" spans="1:26">
      <c r="A35" s="93"/>
      <c r="B35" s="93"/>
      <c r="C35" s="93"/>
      <c r="D35" s="94"/>
      <c r="E35" s="94"/>
      <c r="F35" s="94"/>
      <c r="G35" s="94"/>
      <c r="H35" s="94"/>
      <c r="I35" s="94"/>
      <c r="J35" s="44">
        <f t="shared" ref="J35" si="22">J56+I56</f>
        <v>0</v>
      </c>
      <c r="K35" s="44">
        <f t="shared" ref="K35" si="23">K56+J56</f>
        <v>0</v>
      </c>
      <c r="L35" s="44">
        <f t="shared" ref="L35" si="24">L56+K56</f>
        <v>0</v>
      </c>
      <c r="M35" s="44">
        <f t="shared" ref="M35" si="25">M56+L56</f>
        <v>0</v>
      </c>
      <c r="N35" s="44">
        <f t="shared" ref="N35" si="26">N56+M56</f>
        <v>0</v>
      </c>
      <c r="O35" s="44">
        <f>L29</f>
        <v>0</v>
      </c>
      <c r="P35" s="44">
        <f t="shared" ref="P35:S40" si="27">M29</f>
        <v>0</v>
      </c>
      <c r="Q35" s="44">
        <f t="shared" si="27"/>
        <v>0</v>
      </c>
      <c r="R35" s="44">
        <f t="shared" si="27"/>
        <v>0</v>
      </c>
      <c r="S35" s="44">
        <f t="shared" si="27"/>
        <v>0</v>
      </c>
      <c r="T35" s="95"/>
      <c r="U35" s="68"/>
      <c r="V35" s="68"/>
      <c r="W35" s="68"/>
      <c r="X35" s="68"/>
      <c r="Y35" s="68"/>
      <c r="Z35" s="68"/>
    </row>
    <row r="36" spans="1:26">
      <c r="A36" s="93"/>
      <c r="B36" s="93"/>
      <c r="C36" s="93"/>
      <c r="D36" s="94"/>
      <c r="E36" s="94"/>
      <c r="F36" s="94"/>
      <c r="G36" s="94"/>
      <c r="H36" s="94"/>
      <c r="I36" s="94"/>
      <c r="J36" s="44">
        <v>-15</v>
      </c>
      <c r="K36" s="44">
        <v>-3</v>
      </c>
      <c r="L36" s="44">
        <v>2</v>
      </c>
      <c r="M36" s="44">
        <v>2</v>
      </c>
      <c r="N36" s="44">
        <v>10</v>
      </c>
      <c r="O36" s="44">
        <f t="shared" ref="O36:O40" si="28">L30</f>
        <v>7</v>
      </c>
      <c r="P36" s="44">
        <f t="shared" si="27"/>
        <v>-3</v>
      </c>
      <c r="Q36" s="44">
        <f t="shared" si="27"/>
        <v>-3</v>
      </c>
      <c r="R36" s="44">
        <f t="shared" si="27"/>
        <v>2</v>
      </c>
      <c r="S36" s="44">
        <f t="shared" si="27"/>
        <v>2</v>
      </c>
      <c r="T36" s="95"/>
      <c r="U36" s="68"/>
      <c r="V36" s="68"/>
      <c r="W36" s="68"/>
      <c r="X36" s="68"/>
      <c r="Y36" s="68"/>
      <c r="Z36" s="68"/>
    </row>
    <row r="37" spans="1:26">
      <c r="A37" s="93"/>
      <c r="B37" s="93"/>
      <c r="C37" s="93"/>
      <c r="D37" s="94"/>
      <c r="E37" s="94"/>
      <c r="F37" s="94"/>
      <c r="G37" s="94"/>
      <c r="H37" s="94"/>
      <c r="I37" s="95">
        <f>I31</f>
        <v>9</v>
      </c>
      <c r="J37" s="44">
        <v>0</v>
      </c>
      <c r="K37" s="44">
        <v>-20</v>
      </c>
      <c r="L37" s="44">
        <v>10</v>
      </c>
      <c r="M37" s="44">
        <v>-5</v>
      </c>
      <c r="N37" s="44">
        <v>-5</v>
      </c>
      <c r="O37" s="44">
        <f t="shared" si="28"/>
        <v>-12</v>
      </c>
      <c r="P37" s="44">
        <f t="shared" si="27"/>
        <v>-15</v>
      </c>
      <c r="Q37" s="44">
        <f t="shared" si="27"/>
        <v>-37</v>
      </c>
      <c r="R37" s="44">
        <f t="shared" si="27"/>
        <v>10</v>
      </c>
      <c r="S37" s="44">
        <f t="shared" si="27"/>
        <v>-5</v>
      </c>
      <c r="T37" s="94"/>
    </row>
    <row r="38" spans="1:26">
      <c r="A38" s="93"/>
      <c r="B38" s="93"/>
      <c r="C38" s="93"/>
      <c r="D38" s="94"/>
      <c r="E38" s="94"/>
      <c r="F38" s="94"/>
      <c r="G38" s="94"/>
      <c r="H38" s="94"/>
      <c r="I38" s="95">
        <f>I32</f>
        <v>-9</v>
      </c>
      <c r="J38" s="44">
        <v>50</v>
      </c>
      <c r="K38" s="44">
        <v>-20</v>
      </c>
      <c r="L38" s="44">
        <v>-5</v>
      </c>
      <c r="M38" s="44">
        <v>0</v>
      </c>
      <c r="N38" s="44">
        <v>15</v>
      </c>
      <c r="O38" s="44">
        <f t="shared" si="28"/>
        <v>25</v>
      </c>
      <c r="P38" s="44">
        <f t="shared" si="27"/>
        <v>37</v>
      </c>
      <c r="Q38" s="44">
        <f t="shared" si="27"/>
        <v>-23</v>
      </c>
      <c r="R38" s="44">
        <f t="shared" si="27"/>
        <v>-5</v>
      </c>
      <c r="S38" s="44">
        <f t="shared" si="27"/>
        <v>0</v>
      </c>
      <c r="T38" s="94"/>
    </row>
    <row r="39" spans="1:26">
      <c r="A39" s="93"/>
      <c r="B39" s="93"/>
      <c r="C39" s="93"/>
      <c r="D39" s="94"/>
      <c r="E39" s="94"/>
      <c r="F39" s="94"/>
      <c r="G39" s="94"/>
      <c r="H39" s="94"/>
      <c r="I39" s="94"/>
      <c r="J39" s="44">
        <v>0</v>
      </c>
      <c r="K39" s="44">
        <v>0</v>
      </c>
      <c r="L39" s="44">
        <v>0</v>
      </c>
      <c r="M39" s="44">
        <v>0</v>
      </c>
      <c r="N39" s="44">
        <v>0</v>
      </c>
      <c r="O39" s="44">
        <f t="shared" si="28"/>
        <v>0</v>
      </c>
      <c r="P39" s="44">
        <f t="shared" si="27"/>
        <v>0</v>
      </c>
      <c r="Q39" s="44">
        <f t="shared" si="27"/>
        <v>0</v>
      </c>
      <c r="R39" s="44">
        <f t="shared" si="27"/>
        <v>0</v>
      </c>
      <c r="S39" s="44">
        <f t="shared" si="27"/>
        <v>0</v>
      </c>
      <c r="T39" s="94"/>
    </row>
    <row r="40" spans="1:26">
      <c r="A40" s="93"/>
      <c r="B40" s="93"/>
      <c r="C40" s="93"/>
      <c r="D40" s="94"/>
      <c r="E40" s="94"/>
      <c r="F40" s="94"/>
      <c r="G40" s="94"/>
      <c r="H40" s="94"/>
      <c r="I40" s="94"/>
      <c r="J40" s="44">
        <v>7</v>
      </c>
      <c r="K40" s="44">
        <v>5</v>
      </c>
      <c r="L40" s="44">
        <v>3</v>
      </c>
      <c r="M40" s="44">
        <v>0</v>
      </c>
      <c r="N40" s="44">
        <v>-7</v>
      </c>
      <c r="O40" s="44">
        <f t="shared" si="28"/>
        <v>-7</v>
      </c>
      <c r="P40" s="44">
        <f t="shared" si="27"/>
        <v>-12</v>
      </c>
      <c r="Q40" s="44">
        <f t="shared" si="27"/>
        <v>5</v>
      </c>
      <c r="R40" s="44">
        <f t="shared" si="27"/>
        <v>3</v>
      </c>
      <c r="S40" s="44">
        <f t="shared" si="27"/>
        <v>0</v>
      </c>
      <c r="T40" s="94"/>
    </row>
    <row r="41" spans="1:26">
      <c r="A41" s="93"/>
      <c r="B41" s="93"/>
      <c r="C41" s="93"/>
      <c r="D41" s="94"/>
      <c r="E41" s="94"/>
      <c r="F41" s="94"/>
      <c r="G41" s="94"/>
      <c r="H41" s="94"/>
      <c r="I41" s="94"/>
      <c r="J41" s="51">
        <v>-20</v>
      </c>
      <c r="K41" s="51">
        <v>-30</v>
      </c>
      <c r="L41" s="51">
        <v>-5</v>
      </c>
      <c r="M41" s="51">
        <v>-10</v>
      </c>
      <c r="N41" s="51">
        <v>-8</v>
      </c>
      <c r="O41" s="51">
        <v>5</v>
      </c>
      <c r="P41" s="51">
        <v>10</v>
      </c>
      <c r="Q41" s="51">
        <v>8</v>
      </c>
      <c r="R41" s="51">
        <v>0</v>
      </c>
      <c r="S41" s="51">
        <v>0</v>
      </c>
      <c r="T41" s="94"/>
    </row>
    <row r="42" spans="1:26">
      <c r="A42" s="13"/>
      <c r="B42" s="13"/>
      <c r="C42" s="13"/>
    </row>
    <row r="43" spans="1:26">
      <c r="A43" s="13"/>
      <c r="B43" s="13"/>
      <c r="C43" s="13"/>
    </row>
    <row r="44" spans="1:26">
      <c r="A44" s="13"/>
      <c r="B44" s="13"/>
      <c r="C44" s="13"/>
    </row>
    <row r="45" spans="1:26">
      <c r="A45" s="13"/>
      <c r="B45" s="13"/>
      <c r="C45" s="13"/>
    </row>
    <row r="46" spans="1:26">
      <c r="A46" s="13"/>
      <c r="B46" s="13"/>
      <c r="C46" s="13"/>
    </row>
    <row r="47" spans="1:26">
      <c r="A47" s="13"/>
      <c r="B47" s="13"/>
      <c r="C47" s="13"/>
    </row>
    <row r="48" spans="1:26">
      <c r="A48" s="13"/>
      <c r="B48" s="13"/>
      <c r="C48" s="13"/>
    </row>
    <row r="49" spans="1:3">
      <c r="A49" s="13"/>
      <c r="B49" s="13"/>
      <c r="C49" s="13"/>
    </row>
    <row r="50" spans="1:3">
      <c r="A50" s="13"/>
      <c r="B50" s="13"/>
      <c r="C50" s="13"/>
    </row>
    <row r="51" spans="1:3">
      <c r="A51" s="13"/>
      <c r="B51" s="13"/>
      <c r="C51" s="13"/>
    </row>
  </sheetData>
  <protectedRanges>
    <protectedRange sqref="F9:G11 U9:AB11 F13:G13 U13:AB13 U15:AB17 V19:AB19 J29:S29 J33:S33 J39:N39 J35:S35 O36:S40 R18:AB18 R12:AB12 F15:G19 F12:N12 F14:AB14 F8:AB8 H18:N18 O9:Q13 O15:Q19" name="入力範囲_4_1_1_1_1_1"/>
    <protectedRange sqref="E8:E13" name="入力範囲_4_1_1_1_3_1_1"/>
    <protectedRange sqref="F20:G20 U20:AB20" name="入力範囲_4_1_1_1_1_1_1"/>
    <protectedRange sqref="E20" name="入力範囲_4_1_1_1_3_1_1_1"/>
    <protectedRange sqref="E14:E19 E25:E28" name="入力範囲_4_1_1_1_3_1_1_2"/>
    <protectedRange sqref="J41:S41 H20:T20" name="入力範囲_4_1_1_1_1_1_2"/>
    <protectedRange sqref="J30:S32 R9:T11 H9:N11" name="入力範囲_4_1_1_1_1_1_3"/>
    <protectedRange sqref="J36:N38 R15:T17 H15:N17" name="入力範囲_4_1_1_1_1_1_9"/>
    <protectedRange sqref="J34:S34 R13:T13 H13:N13" name="入力範囲_4_1_1_1_1_1_10"/>
    <protectedRange sqref="U19" name="入力範囲_4_1_1_1_1_1_11"/>
    <protectedRange sqref="J40:N40 R19:T19 H19:N19" name="入力範囲_4_1_1_1_1_1_12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zoomScale="130" zoomScaleNormal="130" workbookViewId="0">
      <selection activeCell="R8" sqref="R8:T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>
        <v>4</v>
      </c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63</v>
      </c>
      <c r="K3" s="61" t="s">
        <v>64</v>
      </c>
      <c r="L3" s="61" t="s">
        <v>65</v>
      </c>
      <c r="M3" s="61" t="s">
        <v>66</v>
      </c>
      <c r="N3" s="61" t="s">
        <v>67</v>
      </c>
      <c r="O3" s="61" t="s">
        <v>68</v>
      </c>
      <c r="P3" s="61" t="s">
        <v>69</v>
      </c>
      <c r="Q3" s="61" t="s">
        <v>70</v>
      </c>
      <c r="R3" s="61" t="s">
        <v>71</v>
      </c>
      <c r="S3" s="61" t="s">
        <v>72</v>
      </c>
      <c r="T3" s="61" t="s">
        <v>73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105</v>
      </c>
      <c r="L4" s="62">
        <f t="shared" si="0"/>
        <v>113</v>
      </c>
      <c r="M4" s="62">
        <f t="shared" si="0"/>
        <v>118</v>
      </c>
      <c r="N4" s="62">
        <f t="shared" si="0"/>
        <v>122</v>
      </c>
      <c r="O4" s="62">
        <f t="shared" si="0"/>
        <v>128</v>
      </c>
      <c r="P4" s="62">
        <f t="shared" si="0"/>
        <v>133</v>
      </c>
      <c r="Q4" s="62">
        <f t="shared" si="0"/>
        <v>137</v>
      </c>
      <c r="R4" s="62">
        <f t="shared" si="0"/>
        <v>143</v>
      </c>
      <c r="S4" s="62">
        <f t="shared" si="0"/>
        <v>158</v>
      </c>
      <c r="T4" s="62">
        <f t="shared" si="0"/>
        <v>168</v>
      </c>
      <c r="U4" s="62">
        <f t="shared" si="0"/>
        <v>170</v>
      </c>
      <c r="V4" s="62">
        <f t="shared" si="0"/>
        <v>172</v>
      </c>
      <c r="W4" s="62">
        <f t="shared" si="0"/>
        <v>174</v>
      </c>
      <c r="X4" s="62">
        <f t="shared" si="0"/>
        <v>199</v>
      </c>
      <c r="Y4" s="62">
        <f t="shared" si="0"/>
        <v>299</v>
      </c>
      <c r="Z4" s="62">
        <f t="shared" si="0"/>
        <v>399</v>
      </c>
      <c r="AA4" s="62">
        <f t="shared" si="0"/>
        <v>499</v>
      </c>
      <c r="AB4" s="62">
        <f t="shared" si="0"/>
        <v>599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3</v>
      </c>
      <c r="K5" s="63">
        <v>8</v>
      </c>
      <c r="L5" s="63">
        <v>5</v>
      </c>
      <c r="M5" s="63">
        <v>4</v>
      </c>
      <c r="N5" s="63">
        <v>6</v>
      </c>
      <c r="O5" s="63">
        <v>5</v>
      </c>
      <c r="P5" s="63">
        <v>4</v>
      </c>
      <c r="Q5" s="63">
        <v>6</v>
      </c>
      <c r="R5" s="63">
        <v>5</v>
      </c>
      <c r="S5" s="63">
        <v>10</v>
      </c>
      <c r="T5" s="63">
        <v>2</v>
      </c>
      <c r="U5" s="63">
        <v>2</v>
      </c>
      <c r="V5" s="63">
        <v>2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10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25</v>
      </c>
      <c r="K8" s="38">
        <v>7</v>
      </c>
      <c r="L8" s="38">
        <v>7</v>
      </c>
      <c r="M8" s="38">
        <v>-3</v>
      </c>
      <c r="N8" s="38">
        <v>-3</v>
      </c>
      <c r="O8" s="38">
        <v>2</v>
      </c>
      <c r="P8" s="38">
        <v>2</v>
      </c>
      <c r="Q8" s="38">
        <v>10</v>
      </c>
      <c r="R8" s="38">
        <v>7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-20</v>
      </c>
      <c r="K9" s="38">
        <v>-12</v>
      </c>
      <c r="L9" s="38">
        <v>-12</v>
      </c>
      <c r="M9" s="38">
        <v>-15</v>
      </c>
      <c r="N9" s="38">
        <v>-20</v>
      </c>
      <c r="O9" s="38">
        <v>10</v>
      </c>
      <c r="P9" s="38">
        <v>-5</v>
      </c>
      <c r="Q9" s="38">
        <v>-5</v>
      </c>
      <c r="R9" s="38">
        <v>40</v>
      </c>
      <c r="S9" s="38">
        <v>-15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30</v>
      </c>
      <c r="K10" s="38">
        <v>25</v>
      </c>
      <c r="L10" s="38">
        <v>25</v>
      </c>
      <c r="M10" s="38">
        <v>40</v>
      </c>
      <c r="N10" s="38">
        <v>-20</v>
      </c>
      <c r="O10" s="38">
        <v>-5</v>
      </c>
      <c r="P10" s="38">
        <v>0</v>
      </c>
      <c r="Q10" s="38">
        <v>15</v>
      </c>
      <c r="R10" s="38">
        <v>-15</v>
      </c>
      <c r="S10" s="38">
        <v>-5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-20</v>
      </c>
      <c r="K11" s="38">
        <v>-7</v>
      </c>
      <c r="L11" s="38">
        <v>-7</v>
      </c>
      <c r="M11" s="38">
        <v>-12</v>
      </c>
      <c r="N11" s="38">
        <v>5</v>
      </c>
      <c r="O11" s="38">
        <v>3</v>
      </c>
      <c r="P11" s="38">
        <v>0</v>
      </c>
      <c r="Q11" s="38">
        <v>-7</v>
      </c>
      <c r="R11" s="38">
        <v>-7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-15</v>
      </c>
      <c r="K12" s="44">
        <v>-3</v>
      </c>
      <c r="L12" s="44">
        <v>2</v>
      </c>
      <c r="M12" s="44">
        <v>2</v>
      </c>
      <c r="N12" s="44">
        <v>10</v>
      </c>
      <c r="O12" s="44">
        <v>7</v>
      </c>
      <c r="P12" s="44">
        <v>-3</v>
      </c>
      <c r="Q12" s="44">
        <v>-3</v>
      </c>
      <c r="R12" s="44">
        <v>2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-20</v>
      </c>
      <c r="L13" s="44">
        <v>10</v>
      </c>
      <c r="M13" s="44">
        <v>-5</v>
      </c>
      <c r="N13" s="44">
        <v>-5</v>
      </c>
      <c r="O13" s="44">
        <v>-12</v>
      </c>
      <c r="P13" s="44">
        <v>-15</v>
      </c>
      <c r="Q13" s="44">
        <v>-20</v>
      </c>
      <c r="R13" s="44">
        <v>40</v>
      </c>
      <c r="S13" s="44">
        <v>-15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50</v>
      </c>
      <c r="K14" s="44">
        <v>-20</v>
      </c>
      <c r="L14" s="44">
        <v>-5</v>
      </c>
      <c r="M14" s="44">
        <v>0</v>
      </c>
      <c r="N14" s="44">
        <v>15</v>
      </c>
      <c r="O14" s="44">
        <v>25</v>
      </c>
      <c r="P14" s="44">
        <v>40</v>
      </c>
      <c r="Q14" s="44">
        <v>-20</v>
      </c>
      <c r="R14" s="44">
        <v>-5</v>
      </c>
      <c r="S14" s="44">
        <v>-5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7</v>
      </c>
      <c r="K15" s="44">
        <v>5</v>
      </c>
      <c r="L15" s="44">
        <v>3</v>
      </c>
      <c r="M15" s="44">
        <v>0</v>
      </c>
      <c r="N15" s="44">
        <v>-7</v>
      </c>
      <c r="O15" s="44">
        <v>-7</v>
      </c>
      <c r="P15" s="44">
        <v>-12</v>
      </c>
      <c r="Q15" s="44">
        <v>5</v>
      </c>
      <c r="R15" s="44">
        <v>3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-20</v>
      </c>
      <c r="K16" s="51">
        <v>-30</v>
      </c>
      <c r="L16" s="51">
        <v>-5</v>
      </c>
      <c r="M16" s="51">
        <v>-10</v>
      </c>
      <c r="N16" s="51">
        <v>-8</v>
      </c>
      <c r="O16" s="51">
        <v>5</v>
      </c>
      <c r="P16" s="51">
        <v>10</v>
      </c>
      <c r="Q16" s="51">
        <v>8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-20</v>
      </c>
      <c r="K25" s="58">
        <f t="shared" si="3"/>
        <v>-12</v>
      </c>
      <c r="L25" s="58">
        <f t="shared" si="3"/>
        <v>-12</v>
      </c>
      <c r="M25" s="58">
        <f t="shared" si="3"/>
        <v>-15</v>
      </c>
      <c r="N25" s="58">
        <f t="shared" si="3"/>
        <v>-20</v>
      </c>
      <c r="O25" s="58">
        <f t="shared" si="3"/>
        <v>10</v>
      </c>
      <c r="P25" s="58">
        <f t="shared" si="3"/>
        <v>-5</v>
      </c>
      <c r="Q25" s="58">
        <f t="shared" si="3"/>
        <v>-5</v>
      </c>
      <c r="R25" s="58">
        <f t="shared" si="3"/>
        <v>40</v>
      </c>
      <c r="S25" s="58">
        <f t="shared" si="3"/>
        <v>-15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30</v>
      </c>
      <c r="K26" s="58">
        <f t="shared" si="3"/>
        <v>25</v>
      </c>
      <c r="L26" s="58">
        <f t="shared" si="3"/>
        <v>25</v>
      </c>
      <c r="M26" s="58">
        <f t="shared" si="3"/>
        <v>40</v>
      </c>
      <c r="N26" s="58">
        <f t="shared" si="3"/>
        <v>-20</v>
      </c>
      <c r="O26" s="58">
        <f t="shared" si="3"/>
        <v>-5</v>
      </c>
      <c r="P26" s="58">
        <f t="shared" si="3"/>
        <v>0</v>
      </c>
      <c r="Q26" s="58">
        <f t="shared" si="3"/>
        <v>15</v>
      </c>
      <c r="R26" s="58">
        <f t="shared" si="3"/>
        <v>-15</v>
      </c>
      <c r="S26" s="58">
        <f t="shared" si="3"/>
        <v>-5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-20</v>
      </c>
      <c r="L27" s="58">
        <f t="shared" si="5"/>
        <v>10</v>
      </c>
      <c r="M27" s="58">
        <f t="shared" si="5"/>
        <v>-5</v>
      </c>
      <c r="N27" s="58">
        <f t="shared" si="5"/>
        <v>-5</v>
      </c>
      <c r="O27" s="58">
        <f t="shared" si="5"/>
        <v>-12</v>
      </c>
      <c r="P27" s="58">
        <f t="shared" si="5"/>
        <v>-15</v>
      </c>
      <c r="Q27" s="58">
        <f t="shared" si="5"/>
        <v>-20</v>
      </c>
      <c r="R27" s="58">
        <f t="shared" si="5"/>
        <v>40</v>
      </c>
      <c r="S27" s="58">
        <f t="shared" si="5"/>
        <v>-15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50</v>
      </c>
      <c r="K28" s="58">
        <f t="shared" si="5"/>
        <v>-20</v>
      </c>
      <c r="L28" s="58">
        <f t="shared" si="5"/>
        <v>-5</v>
      </c>
      <c r="M28" s="58">
        <f t="shared" si="5"/>
        <v>0</v>
      </c>
      <c r="N28" s="58">
        <f t="shared" si="5"/>
        <v>15</v>
      </c>
      <c r="O28" s="58">
        <f t="shared" si="5"/>
        <v>25</v>
      </c>
      <c r="P28" s="58">
        <f t="shared" si="5"/>
        <v>40</v>
      </c>
      <c r="Q28" s="58">
        <f t="shared" si="5"/>
        <v>-20</v>
      </c>
      <c r="R28" s="58">
        <f t="shared" si="5"/>
        <v>-5</v>
      </c>
      <c r="S28" s="58">
        <f t="shared" si="5"/>
        <v>-5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25</v>
      </c>
      <c r="K35" s="68">
        <f t="shared" ref="K35:Z35" si="8">K8</f>
        <v>7</v>
      </c>
      <c r="L35" s="68">
        <f t="shared" si="8"/>
        <v>7</v>
      </c>
      <c r="M35" s="68">
        <f t="shared" si="8"/>
        <v>-3</v>
      </c>
      <c r="N35" s="68">
        <f t="shared" si="8"/>
        <v>-3</v>
      </c>
      <c r="O35" s="68">
        <f t="shared" si="8"/>
        <v>2</v>
      </c>
      <c r="P35" s="68">
        <f t="shared" si="8"/>
        <v>2</v>
      </c>
      <c r="Q35" s="68">
        <f t="shared" si="8"/>
        <v>10</v>
      </c>
      <c r="R35" s="68">
        <f t="shared" si="8"/>
        <v>7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-25</v>
      </c>
      <c r="K36" s="68">
        <f t="shared" ref="K36:Z36" si="9">K9-5</f>
        <v>-17</v>
      </c>
      <c r="L36" s="68">
        <f t="shared" si="9"/>
        <v>-17</v>
      </c>
      <c r="M36" s="68">
        <f t="shared" si="9"/>
        <v>-20</v>
      </c>
      <c r="N36" s="68">
        <f t="shared" si="9"/>
        <v>-25</v>
      </c>
      <c r="O36" s="68">
        <f t="shared" si="9"/>
        <v>5</v>
      </c>
      <c r="P36" s="68">
        <f t="shared" si="9"/>
        <v>-10</v>
      </c>
      <c r="Q36" s="68">
        <f t="shared" si="9"/>
        <v>-10</v>
      </c>
      <c r="R36" s="68">
        <f t="shared" si="9"/>
        <v>35</v>
      </c>
      <c r="S36" s="68">
        <f t="shared" si="9"/>
        <v>-20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35</v>
      </c>
      <c r="K37" s="68">
        <f t="shared" ref="K37:Z37" si="10">K10+5</f>
        <v>30</v>
      </c>
      <c r="L37" s="68">
        <f t="shared" si="10"/>
        <v>30</v>
      </c>
      <c r="M37" s="68">
        <f t="shared" si="10"/>
        <v>45</v>
      </c>
      <c r="N37" s="68">
        <f t="shared" si="10"/>
        <v>-15</v>
      </c>
      <c r="O37" s="68">
        <f t="shared" si="10"/>
        <v>0</v>
      </c>
      <c r="P37" s="68">
        <f t="shared" si="10"/>
        <v>5</v>
      </c>
      <c r="Q37" s="68">
        <f t="shared" si="10"/>
        <v>20</v>
      </c>
      <c r="R37" s="68">
        <f t="shared" si="10"/>
        <v>-10</v>
      </c>
      <c r="S37" s="68">
        <f t="shared" si="10"/>
        <v>0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Y42" si="11">J11</f>
        <v>-20</v>
      </c>
      <c r="K38" s="68">
        <f t="shared" si="11"/>
        <v>-7</v>
      </c>
      <c r="L38" s="68">
        <f t="shared" si="11"/>
        <v>-7</v>
      </c>
      <c r="M38" s="68">
        <f t="shared" si="11"/>
        <v>-12</v>
      </c>
      <c r="N38" s="68">
        <f t="shared" si="11"/>
        <v>5</v>
      </c>
      <c r="O38" s="68">
        <f t="shared" si="11"/>
        <v>3</v>
      </c>
      <c r="P38" s="68">
        <f t="shared" si="11"/>
        <v>0</v>
      </c>
      <c r="Q38" s="68">
        <f t="shared" si="11"/>
        <v>-7</v>
      </c>
      <c r="R38" s="68">
        <f t="shared" si="11"/>
        <v>-7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ref="K38:Z42" si="12">Z11</f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-15</v>
      </c>
      <c r="K39" s="68">
        <f t="shared" si="12"/>
        <v>-3</v>
      </c>
      <c r="L39" s="68">
        <f t="shared" si="12"/>
        <v>2</v>
      </c>
      <c r="M39" s="68">
        <f t="shared" si="12"/>
        <v>2</v>
      </c>
      <c r="N39" s="68">
        <f t="shared" si="12"/>
        <v>10</v>
      </c>
      <c r="O39" s="68">
        <f t="shared" si="12"/>
        <v>7</v>
      </c>
      <c r="P39" s="68">
        <f t="shared" si="12"/>
        <v>-3</v>
      </c>
      <c r="Q39" s="68">
        <f t="shared" si="12"/>
        <v>-3</v>
      </c>
      <c r="R39" s="68">
        <f t="shared" si="12"/>
        <v>2</v>
      </c>
      <c r="S39" s="68">
        <f t="shared" si="12"/>
        <v>0</v>
      </c>
      <c r="T39" s="68">
        <f t="shared" si="12"/>
        <v>0</v>
      </c>
      <c r="U39" s="68">
        <f t="shared" si="12"/>
        <v>0</v>
      </c>
      <c r="V39" s="68">
        <f t="shared" si="12"/>
        <v>0</v>
      </c>
      <c r="W39" s="68">
        <f t="shared" si="12"/>
        <v>0</v>
      </c>
      <c r="X39" s="68">
        <f t="shared" si="12"/>
        <v>0</v>
      </c>
      <c r="Y39" s="68">
        <f t="shared" si="12"/>
        <v>0</v>
      </c>
      <c r="Z39" s="68">
        <f t="shared" si="12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</v>
      </c>
      <c r="K40" s="68">
        <f t="shared" ref="K40:Z40" si="13">K13-5</f>
        <v>-25</v>
      </c>
      <c r="L40" s="68">
        <f t="shared" si="13"/>
        <v>5</v>
      </c>
      <c r="M40" s="68">
        <f t="shared" si="13"/>
        <v>-10</v>
      </c>
      <c r="N40" s="68">
        <f t="shared" si="13"/>
        <v>-10</v>
      </c>
      <c r="O40" s="68">
        <f t="shared" si="13"/>
        <v>-17</v>
      </c>
      <c r="P40" s="68">
        <f t="shared" si="13"/>
        <v>-20</v>
      </c>
      <c r="Q40" s="68">
        <f t="shared" si="13"/>
        <v>-25</v>
      </c>
      <c r="R40" s="68">
        <f t="shared" si="13"/>
        <v>35</v>
      </c>
      <c r="S40" s="68">
        <f t="shared" si="13"/>
        <v>-20</v>
      </c>
      <c r="T40" s="68">
        <f t="shared" si="13"/>
        <v>-5</v>
      </c>
      <c r="U40" s="68">
        <f t="shared" si="13"/>
        <v>-5</v>
      </c>
      <c r="V40" s="68">
        <f t="shared" si="13"/>
        <v>-5</v>
      </c>
      <c r="W40" s="68">
        <f t="shared" si="13"/>
        <v>-5</v>
      </c>
      <c r="X40" s="68">
        <f t="shared" si="13"/>
        <v>-5</v>
      </c>
      <c r="Y40" s="68">
        <f t="shared" si="13"/>
        <v>-5</v>
      </c>
      <c r="Z40" s="68">
        <f t="shared" si="13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55</v>
      </c>
      <c r="K41" s="68">
        <f t="shared" ref="K41:Z41" si="14">K14+5</f>
        <v>-15</v>
      </c>
      <c r="L41" s="68">
        <f t="shared" si="14"/>
        <v>0</v>
      </c>
      <c r="M41" s="68">
        <f t="shared" si="14"/>
        <v>5</v>
      </c>
      <c r="N41" s="68">
        <f t="shared" si="14"/>
        <v>20</v>
      </c>
      <c r="O41" s="68">
        <f t="shared" si="14"/>
        <v>30</v>
      </c>
      <c r="P41" s="68">
        <f t="shared" si="14"/>
        <v>45</v>
      </c>
      <c r="Q41" s="68">
        <f t="shared" si="14"/>
        <v>-15</v>
      </c>
      <c r="R41" s="68">
        <f t="shared" si="14"/>
        <v>0</v>
      </c>
      <c r="S41" s="68">
        <f t="shared" si="14"/>
        <v>0</v>
      </c>
      <c r="T41" s="68">
        <f t="shared" si="14"/>
        <v>5</v>
      </c>
      <c r="U41" s="68">
        <f t="shared" si="14"/>
        <v>5</v>
      </c>
      <c r="V41" s="68">
        <f t="shared" si="14"/>
        <v>5</v>
      </c>
      <c r="W41" s="68">
        <f t="shared" si="14"/>
        <v>5</v>
      </c>
      <c r="X41" s="68">
        <f t="shared" si="14"/>
        <v>5</v>
      </c>
      <c r="Y41" s="68">
        <f t="shared" si="14"/>
        <v>5</v>
      </c>
      <c r="Z41" s="68">
        <f t="shared" si="14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7</v>
      </c>
      <c r="K42" s="68">
        <f t="shared" si="12"/>
        <v>5</v>
      </c>
      <c r="L42" s="68">
        <f t="shared" si="12"/>
        <v>3</v>
      </c>
      <c r="M42" s="68">
        <f t="shared" si="12"/>
        <v>0</v>
      </c>
      <c r="N42" s="68">
        <f t="shared" si="12"/>
        <v>-7</v>
      </c>
      <c r="O42" s="68">
        <f t="shared" si="12"/>
        <v>-7</v>
      </c>
      <c r="P42" s="68">
        <f t="shared" si="12"/>
        <v>-12</v>
      </c>
      <c r="Q42" s="68">
        <f t="shared" si="12"/>
        <v>5</v>
      </c>
      <c r="R42" s="68">
        <f t="shared" si="12"/>
        <v>3</v>
      </c>
      <c r="S42" s="68">
        <f t="shared" si="12"/>
        <v>0</v>
      </c>
      <c r="T42" s="68">
        <f t="shared" si="12"/>
        <v>0</v>
      </c>
      <c r="U42" s="68">
        <f t="shared" si="12"/>
        <v>0</v>
      </c>
      <c r="V42" s="68">
        <f t="shared" si="12"/>
        <v>0</v>
      </c>
      <c r="W42" s="68">
        <f t="shared" si="12"/>
        <v>0</v>
      </c>
      <c r="X42" s="68">
        <f t="shared" si="12"/>
        <v>0</v>
      </c>
      <c r="Y42" s="68">
        <f t="shared" si="12"/>
        <v>0</v>
      </c>
      <c r="Z42" s="68">
        <f t="shared" si="12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workbookViewId="0">
      <selection activeCell="E12" sqref="E1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30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30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workbookViewId="0">
      <selection activeCell="F3" sqref="F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-30</v>
      </c>
      <c r="K16" s="51">
        <v>-45</v>
      </c>
      <c r="L16" s="51">
        <v>-50</v>
      </c>
      <c r="M16" s="51">
        <v>-100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-40</v>
      </c>
      <c r="L17" s="38">
        <v>-30</v>
      </c>
      <c r="M17" s="38">
        <v>-60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0</v>
      </c>
      <c r="M18" s="38">
        <v>80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-90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-150</v>
      </c>
      <c r="M20" s="38">
        <v>-90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0</v>
      </c>
      <c r="M29" s="58">
        <f t="shared" si="6"/>
        <v>80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  <c r="J44" s="68">
        <f>J20</f>
        <v>-180</v>
      </c>
      <c r="K44" s="68">
        <f t="shared" ref="K44:AB44" si="14">K20</f>
        <v>-180</v>
      </c>
      <c r="L44" s="68">
        <f t="shared" si="14"/>
        <v>-150</v>
      </c>
      <c r="M44" s="68">
        <f t="shared" si="14"/>
        <v>-90</v>
      </c>
      <c r="N44" s="68">
        <f t="shared" si="14"/>
        <v>-120</v>
      </c>
      <c r="O44" s="68">
        <f t="shared" si="14"/>
        <v>-120</v>
      </c>
      <c r="P44" s="68">
        <f t="shared" si="14"/>
        <v>-120</v>
      </c>
      <c r="Q44" s="68">
        <f t="shared" si="14"/>
        <v>-90</v>
      </c>
      <c r="R44" s="68">
        <f t="shared" si="14"/>
        <v>-80</v>
      </c>
      <c r="S44" s="68">
        <f t="shared" si="14"/>
        <v>-80</v>
      </c>
      <c r="T44" s="68">
        <f t="shared" si="14"/>
        <v>-180</v>
      </c>
      <c r="U44" s="68">
        <f t="shared" si="14"/>
        <v>-180</v>
      </c>
      <c r="V44" s="68">
        <f t="shared" si="14"/>
        <v>0</v>
      </c>
      <c r="W44" s="68">
        <f t="shared" si="14"/>
        <v>0</v>
      </c>
      <c r="X44" s="68">
        <f t="shared" si="14"/>
        <v>0</v>
      </c>
      <c r="Y44" s="68">
        <f t="shared" si="14"/>
        <v>0</v>
      </c>
      <c r="Z44" s="68">
        <f t="shared" si="14"/>
        <v>0</v>
      </c>
      <c r="AA44" s="68">
        <f t="shared" si="14"/>
        <v>0</v>
      </c>
      <c r="AB44" s="68">
        <f t="shared" si="14"/>
        <v>0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  <c r="J45" s="68">
        <f>J19</f>
        <v>0</v>
      </c>
      <c r="K45" s="68">
        <f t="shared" ref="K45:AB45" si="15">K19</f>
        <v>0</v>
      </c>
      <c r="L45" s="68">
        <f t="shared" si="15"/>
        <v>0</v>
      </c>
      <c r="M45" s="68">
        <f t="shared" si="15"/>
        <v>-90</v>
      </c>
      <c r="N45" s="68">
        <f t="shared" si="15"/>
        <v>-120</v>
      </c>
      <c r="O45" s="68">
        <f t="shared" si="15"/>
        <v>-120</v>
      </c>
      <c r="P45" s="68">
        <f t="shared" si="15"/>
        <v>-120</v>
      </c>
      <c r="Q45" s="68">
        <f t="shared" si="15"/>
        <v>-90</v>
      </c>
      <c r="R45" s="68">
        <f t="shared" si="15"/>
        <v>-80</v>
      </c>
      <c r="S45" s="68">
        <f t="shared" si="15"/>
        <v>-80</v>
      </c>
      <c r="T45" s="68">
        <f t="shared" si="15"/>
        <v>0</v>
      </c>
      <c r="U45" s="68">
        <f t="shared" si="15"/>
        <v>0</v>
      </c>
      <c r="V45" s="68">
        <f t="shared" si="15"/>
        <v>0</v>
      </c>
      <c r="W45" s="68">
        <f t="shared" si="15"/>
        <v>0</v>
      </c>
      <c r="X45" s="68">
        <f t="shared" si="15"/>
        <v>0</v>
      </c>
      <c r="Y45" s="68">
        <f t="shared" si="15"/>
        <v>0</v>
      </c>
      <c r="Z45" s="68">
        <f t="shared" si="15"/>
        <v>0</v>
      </c>
      <c r="AA45" s="68">
        <f t="shared" si="15"/>
        <v>0</v>
      </c>
      <c r="AB45" s="68">
        <f t="shared" si="15"/>
        <v>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-150</v>
      </c>
      <c r="K17" s="38">
        <v>-150</v>
      </c>
      <c r="L17" s="38">
        <v>-150</v>
      </c>
      <c r="M17" s="38">
        <v>-60</v>
      </c>
      <c r="N17" s="38">
        <v>0</v>
      </c>
      <c r="O17" s="38">
        <v>0</v>
      </c>
      <c r="P17" s="38">
        <v>30</v>
      </c>
      <c r="Q17" s="38">
        <v>-40</v>
      </c>
      <c r="R17" s="38">
        <v>-80</v>
      </c>
      <c r="S17" s="38">
        <v>-150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45</v>
      </c>
      <c r="K18" s="38">
        <v>20</v>
      </c>
      <c r="L18" s="38">
        <v>-20</v>
      </c>
      <c r="M18" s="38">
        <v>90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-30</v>
      </c>
      <c r="M19" s="38">
        <v>-90</v>
      </c>
      <c r="N19" s="38">
        <v>-90</v>
      </c>
      <c r="O19" s="38">
        <v>-90</v>
      </c>
      <c r="P19" s="38">
        <v>-70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-180</v>
      </c>
      <c r="K20" s="38">
        <v>-180</v>
      </c>
      <c r="L20" s="38">
        <v>-180</v>
      </c>
      <c r="M20" s="38">
        <v>-90</v>
      </c>
      <c r="N20" s="38">
        <v>-90</v>
      </c>
      <c r="O20" s="38">
        <v>-90</v>
      </c>
      <c r="P20" s="38">
        <v>-70</v>
      </c>
      <c r="Q20" s="38">
        <v>-90</v>
      </c>
      <c r="R20" s="38">
        <v>-80</v>
      </c>
      <c r="S20" s="38">
        <v>-80</v>
      </c>
      <c r="T20" s="38">
        <v>-180</v>
      </c>
      <c r="U20" s="38">
        <v>-180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45</v>
      </c>
      <c r="K29" s="58">
        <f t="shared" si="6"/>
        <v>20</v>
      </c>
      <c r="L29" s="58">
        <f t="shared" si="6"/>
        <v>-20</v>
      </c>
      <c r="M29" s="58">
        <f t="shared" si="6"/>
        <v>90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15</v>
      </c>
      <c r="L35" s="68">
        <f t="shared" si="8"/>
        <v>25</v>
      </c>
      <c r="M35" s="68">
        <f t="shared" si="8"/>
        <v>0</v>
      </c>
      <c r="N35" s="68">
        <f t="shared" si="8"/>
        <v>0</v>
      </c>
      <c r="O35" s="68">
        <f t="shared" si="8"/>
        <v>-20</v>
      </c>
      <c r="P35" s="68">
        <f t="shared" si="8"/>
        <v>-20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-5</v>
      </c>
      <c r="U35" s="68">
        <f t="shared" si="8"/>
        <v>-10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-22</v>
      </c>
      <c r="K36" s="68">
        <f t="shared" ref="K36:Z36" si="9">K9-5</f>
        <v>-23</v>
      </c>
      <c r="L36" s="68">
        <f t="shared" si="9"/>
        <v>-30</v>
      </c>
      <c r="M36" s="68">
        <f t="shared" si="9"/>
        <v>-50</v>
      </c>
      <c r="N36" s="68">
        <f t="shared" si="9"/>
        <v>-50</v>
      </c>
      <c r="O36" s="68">
        <f t="shared" si="9"/>
        <v>-5</v>
      </c>
      <c r="P36" s="68">
        <f t="shared" si="9"/>
        <v>-5</v>
      </c>
      <c r="Q36" s="68">
        <f t="shared" si="9"/>
        <v>-50</v>
      </c>
      <c r="R36" s="68">
        <f t="shared" si="9"/>
        <v>-50</v>
      </c>
      <c r="S36" s="68">
        <f t="shared" si="9"/>
        <v>-50</v>
      </c>
      <c r="T36" s="68">
        <f t="shared" si="9"/>
        <v>-40</v>
      </c>
      <c r="U36" s="68">
        <f t="shared" si="9"/>
        <v>-30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-8</v>
      </c>
      <c r="K37" s="68">
        <f t="shared" ref="K37:Z37" si="10">K10+5</f>
        <v>-15</v>
      </c>
      <c r="L37" s="68">
        <f t="shared" si="10"/>
        <v>5</v>
      </c>
      <c r="M37" s="68">
        <f t="shared" si="10"/>
        <v>35</v>
      </c>
      <c r="N37" s="68">
        <f t="shared" si="10"/>
        <v>35</v>
      </c>
      <c r="O37" s="68">
        <f t="shared" si="10"/>
        <v>35</v>
      </c>
      <c r="P37" s="68">
        <f t="shared" si="10"/>
        <v>35</v>
      </c>
      <c r="Q37" s="68">
        <f t="shared" si="10"/>
        <v>35</v>
      </c>
      <c r="R37" s="68">
        <f t="shared" si="10"/>
        <v>35</v>
      </c>
      <c r="S37" s="68">
        <f t="shared" si="10"/>
        <v>35</v>
      </c>
      <c r="T37" s="68">
        <f t="shared" si="10"/>
        <v>-30</v>
      </c>
      <c r="U37" s="68">
        <f t="shared" si="10"/>
        <v>-20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-15</v>
      </c>
      <c r="L38" s="68">
        <f t="shared" si="11"/>
        <v>-15</v>
      </c>
      <c r="M38" s="68">
        <f t="shared" si="11"/>
        <v>5</v>
      </c>
      <c r="N38" s="68">
        <f t="shared" si="11"/>
        <v>5</v>
      </c>
      <c r="O38" s="68">
        <f t="shared" si="11"/>
        <v>5</v>
      </c>
      <c r="P38" s="68">
        <f t="shared" si="11"/>
        <v>5</v>
      </c>
      <c r="Q38" s="68">
        <f t="shared" si="11"/>
        <v>5</v>
      </c>
      <c r="R38" s="68">
        <f t="shared" si="11"/>
        <v>5</v>
      </c>
      <c r="S38" s="68">
        <f t="shared" si="11"/>
        <v>5</v>
      </c>
      <c r="T38" s="68">
        <f t="shared" si="11"/>
        <v>-10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-10</v>
      </c>
      <c r="K39" s="68">
        <f t="shared" si="11"/>
        <v>0</v>
      </c>
      <c r="L39" s="68">
        <f t="shared" si="11"/>
        <v>-20</v>
      </c>
      <c r="M39" s="68">
        <f t="shared" si="11"/>
        <v>-5</v>
      </c>
      <c r="N39" s="68">
        <f t="shared" si="11"/>
        <v>-5</v>
      </c>
      <c r="O39" s="68">
        <f t="shared" si="11"/>
        <v>15</v>
      </c>
      <c r="P39" s="68">
        <f t="shared" si="11"/>
        <v>15</v>
      </c>
      <c r="Q39" s="68">
        <f t="shared" si="11"/>
        <v>-5</v>
      </c>
      <c r="R39" s="68">
        <f t="shared" si="11"/>
        <v>-5</v>
      </c>
      <c r="S39" s="68">
        <f t="shared" si="11"/>
        <v>-5</v>
      </c>
      <c r="T39" s="68">
        <f t="shared" si="11"/>
        <v>-30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-17</v>
      </c>
      <c r="K40" s="68">
        <f t="shared" ref="K40:Z40" si="12">K13-5</f>
        <v>-23</v>
      </c>
      <c r="L40" s="68">
        <f t="shared" si="12"/>
        <v>5</v>
      </c>
      <c r="M40" s="68">
        <f t="shared" si="12"/>
        <v>25</v>
      </c>
      <c r="N40" s="68">
        <f t="shared" si="12"/>
        <v>25</v>
      </c>
      <c r="O40" s="68">
        <f t="shared" si="12"/>
        <v>5</v>
      </c>
      <c r="P40" s="68">
        <f t="shared" si="12"/>
        <v>5</v>
      </c>
      <c r="Q40" s="68">
        <f t="shared" si="12"/>
        <v>25</v>
      </c>
      <c r="R40" s="68">
        <f t="shared" si="12"/>
        <v>25</v>
      </c>
      <c r="S40" s="68">
        <f t="shared" si="12"/>
        <v>25</v>
      </c>
      <c r="T40" s="68">
        <f t="shared" si="12"/>
        <v>-30</v>
      </c>
      <c r="U40" s="68">
        <f t="shared" si="12"/>
        <v>-35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</v>
      </c>
      <c r="K41" s="68">
        <f t="shared" ref="K41:Z41" si="13">K14+5</f>
        <v>-15</v>
      </c>
      <c r="L41" s="68">
        <f t="shared" si="13"/>
        <v>-35</v>
      </c>
      <c r="M41" s="68">
        <f t="shared" si="13"/>
        <v>-40</v>
      </c>
      <c r="N41" s="68">
        <f t="shared" si="13"/>
        <v>-40</v>
      </c>
      <c r="O41" s="68">
        <f t="shared" si="13"/>
        <v>-5</v>
      </c>
      <c r="P41" s="68">
        <f t="shared" si="13"/>
        <v>-5</v>
      </c>
      <c r="Q41" s="68">
        <f t="shared" si="13"/>
        <v>-40</v>
      </c>
      <c r="R41" s="68">
        <f t="shared" si="13"/>
        <v>-40</v>
      </c>
      <c r="S41" s="68">
        <f t="shared" si="13"/>
        <v>-40</v>
      </c>
      <c r="T41" s="68">
        <f t="shared" si="13"/>
        <v>-20</v>
      </c>
      <c r="U41" s="68">
        <f t="shared" si="13"/>
        <v>-25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10</v>
      </c>
      <c r="K42" s="68">
        <f t="shared" si="11"/>
        <v>-5</v>
      </c>
      <c r="L42" s="68">
        <f t="shared" si="11"/>
        <v>0</v>
      </c>
      <c r="M42" s="68">
        <f t="shared" si="11"/>
        <v>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30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0</v>
      </c>
      <c r="B2" s="64" t="s">
        <v>38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112</v>
      </c>
      <c r="L4" s="62">
        <f t="shared" si="0"/>
        <v>122</v>
      </c>
      <c r="M4" s="62">
        <f t="shared" si="0"/>
        <v>132</v>
      </c>
      <c r="N4" s="62">
        <f t="shared" si="0"/>
        <v>142</v>
      </c>
      <c r="O4" s="62">
        <f t="shared" si="0"/>
        <v>182</v>
      </c>
      <c r="P4" s="62">
        <f t="shared" si="0"/>
        <v>202</v>
      </c>
      <c r="Q4" s="62">
        <f t="shared" si="0"/>
        <v>207</v>
      </c>
      <c r="R4" s="62">
        <f t="shared" si="0"/>
        <v>227</v>
      </c>
      <c r="S4" s="62">
        <f t="shared" si="0"/>
        <v>257</v>
      </c>
      <c r="T4" s="62">
        <f t="shared" si="0"/>
        <v>262</v>
      </c>
      <c r="U4" s="62">
        <f t="shared" si="0"/>
        <v>302</v>
      </c>
      <c r="V4" s="62">
        <f t="shared" si="0"/>
        <v>332</v>
      </c>
      <c r="W4" s="62">
        <f t="shared" si="0"/>
        <v>352</v>
      </c>
      <c r="X4" s="62">
        <f t="shared" si="0"/>
        <v>452</v>
      </c>
      <c r="Y4" s="62">
        <f t="shared" si="0"/>
        <v>552</v>
      </c>
      <c r="Z4" s="62">
        <f t="shared" si="0"/>
        <v>652</v>
      </c>
      <c r="AA4" s="62">
        <f t="shared" si="0"/>
        <v>752</v>
      </c>
      <c r="AB4" s="62">
        <f t="shared" si="0"/>
        <v>852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</v>
      </c>
      <c r="K5" s="63">
        <v>10</v>
      </c>
      <c r="L5" s="63">
        <v>10</v>
      </c>
      <c r="M5" s="63">
        <v>10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15</v>
      </c>
      <c r="L8" s="38">
        <v>25</v>
      </c>
      <c r="M8" s="38">
        <v>0</v>
      </c>
      <c r="N8" s="38">
        <v>0</v>
      </c>
      <c r="O8" s="38">
        <v>-20</v>
      </c>
      <c r="P8" s="38">
        <v>-20</v>
      </c>
      <c r="Q8" s="38">
        <v>0</v>
      </c>
      <c r="R8" s="38">
        <v>0</v>
      </c>
      <c r="S8" s="38">
        <v>0</v>
      </c>
      <c r="T8" s="38">
        <v>-5</v>
      </c>
      <c r="U8" s="38">
        <v>-10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-17</v>
      </c>
      <c r="K9" s="38">
        <v>-18</v>
      </c>
      <c r="L9" s="38">
        <v>-25</v>
      </c>
      <c r="M9" s="38">
        <v>-45</v>
      </c>
      <c r="N9" s="38">
        <v>-45</v>
      </c>
      <c r="O9" s="38">
        <v>0</v>
      </c>
      <c r="P9" s="38">
        <v>0</v>
      </c>
      <c r="Q9" s="38">
        <v>-45</v>
      </c>
      <c r="R9" s="38">
        <v>-45</v>
      </c>
      <c r="S9" s="38">
        <v>-45</v>
      </c>
      <c r="T9" s="38">
        <v>-35</v>
      </c>
      <c r="U9" s="38">
        <v>-25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-13</v>
      </c>
      <c r="K10" s="38">
        <v>-20</v>
      </c>
      <c r="L10" s="38">
        <v>0</v>
      </c>
      <c r="M10" s="38">
        <v>30</v>
      </c>
      <c r="N10" s="38">
        <v>30</v>
      </c>
      <c r="O10" s="38">
        <v>30</v>
      </c>
      <c r="P10" s="38">
        <v>30</v>
      </c>
      <c r="Q10" s="38">
        <v>30</v>
      </c>
      <c r="R10" s="38">
        <v>30</v>
      </c>
      <c r="S10" s="38">
        <v>30</v>
      </c>
      <c r="T10" s="38">
        <v>-35</v>
      </c>
      <c r="U10" s="38">
        <v>-25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-15</v>
      </c>
      <c r="L11" s="38">
        <v>-15</v>
      </c>
      <c r="M11" s="38">
        <v>5</v>
      </c>
      <c r="N11" s="38">
        <v>5</v>
      </c>
      <c r="O11" s="38">
        <v>5</v>
      </c>
      <c r="P11" s="38">
        <v>5</v>
      </c>
      <c r="Q11" s="38">
        <v>5</v>
      </c>
      <c r="R11" s="38">
        <v>5</v>
      </c>
      <c r="S11" s="38">
        <v>5</v>
      </c>
      <c r="T11" s="38">
        <v>-10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-10</v>
      </c>
      <c r="K12" s="44">
        <v>0</v>
      </c>
      <c r="L12" s="44">
        <v>-20</v>
      </c>
      <c r="M12" s="44">
        <v>-5</v>
      </c>
      <c r="N12" s="44">
        <v>-5</v>
      </c>
      <c r="O12" s="44">
        <v>15</v>
      </c>
      <c r="P12" s="44">
        <v>15</v>
      </c>
      <c r="Q12" s="44">
        <v>-5</v>
      </c>
      <c r="R12" s="44">
        <v>-5</v>
      </c>
      <c r="S12" s="44">
        <v>-5</v>
      </c>
      <c r="T12" s="44">
        <v>-30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-12</v>
      </c>
      <c r="K13" s="44">
        <v>-18</v>
      </c>
      <c r="L13" s="44">
        <v>10</v>
      </c>
      <c r="M13" s="44">
        <v>30</v>
      </c>
      <c r="N13" s="44">
        <v>30</v>
      </c>
      <c r="O13" s="44">
        <v>10</v>
      </c>
      <c r="P13" s="44">
        <v>10</v>
      </c>
      <c r="Q13" s="44">
        <v>30</v>
      </c>
      <c r="R13" s="44">
        <v>30</v>
      </c>
      <c r="S13" s="44">
        <v>30</v>
      </c>
      <c r="T13" s="44">
        <v>-25</v>
      </c>
      <c r="U13" s="44">
        <v>-30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-8</v>
      </c>
      <c r="K14" s="44">
        <v>-20</v>
      </c>
      <c r="L14" s="44">
        <v>-40</v>
      </c>
      <c r="M14" s="44">
        <v>-45</v>
      </c>
      <c r="N14" s="44">
        <v>-45</v>
      </c>
      <c r="O14" s="44">
        <v>-10</v>
      </c>
      <c r="P14" s="44">
        <v>-10</v>
      </c>
      <c r="Q14" s="44">
        <v>-45</v>
      </c>
      <c r="R14" s="44">
        <v>-45</v>
      </c>
      <c r="S14" s="44">
        <v>-45</v>
      </c>
      <c r="T14" s="44">
        <v>-25</v>
      </c>
      <c r="U14" s="44">
        <v>-30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-5</v>
      </c>
      <c r="L15" s="44">
        <v>0</v>
      </c>
      <c r="M15" s="44">
        <v>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30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20</v>
      </c>
      <c r="K16" s="51">
        <v>0</v>
      </c>
      <c r="L16" s="51">
        <v>-40</v>
      </c>
      <c r="M16" s="51">
        <v>-90</v>
      </c>
      <c r="N16" s="51">
        <v>-100</v>
      </c>
      <c r="O16" s="51">
        <v>-100</v>
      </c>
      <c r="P16" s="51">
        <v>-100</v>
      </c>
      <c r="Q16" s="51">
        <v>-100</v>
      </c>
      <c r="R16" s="51">
        <v>-50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-70</v>
      </c>
      <c r="K17" s="38">
        <v>-70</v>
      </c>
      <c r="L17" s="38">
        <v>25</v>
      </c>
      <c r="M17" s="38">
        <v>20</v>
      </c>
      <c r="N17" s="38">
        <v>-120</v>
      </c>
      <c r="O17" s="38">
        <v>-120</v>
      </c>
      <c r="P17" s="38">
        <v>-150</v>
      </c>
      <c r="Q17" s="38">
        <v>-40</v>
      </c>
      <c r="R17" s="38">
        <v>0</v>
      </c>
      <c r="S17" s="38">
        <v>100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-20</v>
      </c>
      <c r="K18" s="38">
        <v>-20</v>
      </c>
      <c r="L18" s="38">
        <v>-20</v>
      </c>
      <c r="M18" s="38">
        <v>70</v>
      </c>
      <c r="N18" s="38">
        <v>80</v>
      </c>
      <c r="O18" s="38">
        <v>80</v>
      </c>
      <c r="P18" s="38">
        <v>80</v>
      </c>
      <c r="Q18" s="38">
        <v>80</v>
      </c>
      <c r="R18" s="38">
        <v>80</v>
      </c>
      <c r="S18" s="38">
        <v>80</v>
      </c>
      <c r="T18" s="38">
        <v>15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-75</v>
      </c>
      <c r="M19" s="38">
        <v>-75</v>
      </c>
      <c r="N19" s="38">
        <v>-120</v>
      </c>
      <c r="O19" s="38">
        <v>-120</v>
      </c>
      <c r="P19" s="38">
        <v>-120</v>
      </c>
      <c r="Q19" s="38">
        <v>-90</v>
      </c>
      <c r="R19" s="38">
        <v>-80</v>
      </c>
      <c r="S19" s="38">
        <v>-80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-75</v>
      </c>
      <c r="M20" s="38">
        <v>-75</v>
      </c>
      <c r="N20" s="38">
        <v>-120</v>
      </c>
      <c r="O20" s="38">
        <v>-120</v>
      </c>
      <c r="P20" s="38">
        <v>-120</v>
      </c>
      <c r="Q20" s="38">
        <v>-90</v>
      </c>
      <c r="R20" s="38">
        <v>-80</v>
      </c>
      <c r="S20" s="38">
        <v>-80</v>
      </c>
      <c r="T20" s="38">
        <v>-180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-30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-17</v>
      </c>
      <c r="K25" s="58">
        <f t="shared" si="3"/>
        <v>-18</v>
      </c>
      <c r="L25" s="58">
        <f t="shared" si="3"/>
        <v>-25</v>
      </c>
      <c r="M25" s="58">
        <f t="shared" si="3"/>
        <v>-45</v>
      </c>
      <c r="N25" s="58">
        <f t="shared" si="3"/>
        <v>-45</v>
      </c>
      <c r="O25" s="58">
        <f t="shared" si="3"/>
        <v>0</v>
      </c>
      <c r="P25" s="58">
        <f t="shared" si="3"/>
        <v>0</v>
      </c>
      <c r="Q25" s="58">
        <f t="shared" si="3"/>
        <v>-45</v>
      </c>
      <c r="R25" s="58">
        <f t="shared" si="3"/>
        <v>-45</v>
      </c>
      <c r="S25" s="58">
        <f t="shared" si="3"/>
        <v>-45</v>
      </c>
      <c r="T25" s="58">
        <f t="shared" si="3"/>
        <v>-35</v>
      </c>
      <c r="U25" s="58">
        <f t="shared" si="3"/>
        <v>-25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-13</v>
      </c>
      <c r="K26" s="58">
        <f t="shared" si="3"/>
        <v>-20</v>
      </c>
      <c r="L26" s="58">
        <f t="shared" si="3"/>
        <v>0</v>
      </c>
      <c r="M26" s="58">
        <f t="shared" si="3"/>
        <v>30</v>
      </c>
      <c r="N26" s="58">
        <f t="shared" si="3"/>
        <v>30</v>
      </c>
      <c r="O26" s="58">
        <f t="shared" si="3"/>
        <v>30</v>
      </c>
      <c r="P26" s="58">
        <f t="shared" si="3"/>
        <v>30</v>
      </c>
      <c r="Q26" s="58">
        <f t="shared" si="3"/>
        <v>30</v>
      </c>
      <c r="R26" s="58">
        <f t="shared" si="3"/>
        <v>30</v>
      </c>
      <c r="S26" s="58">
        <f t="shared" si="3"/>
        <v>30</v>
      </c>
      <c r="T26" s="58">
        <f t="shared" si="3"/>
        <v>-35</v>
      </c>
      <c r="U26" s="58">
        <f t="shared" si="3"/>
        <v>-25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-12</v>
      </c>
      <c r="K27" s="58">
        <f t="shared" si="5"/>
        <v>-18</v>
      </c>
      <c r="L27" s="58">
        <f t="shared" si="5"/>
        <v>10</v>
      </c>
      <c r="M27" s="58">
        <f t="shared" si="5"/>
        <v>30</v>
      </c>
      <c r="N27" s="58">
        <f t="shared" si="5"/>
        <v>30</v>
      </c>
      <c r="O27" s="58">
        <f t="shared" si="5"/>
        <v>10</v>
      </c>
      <c r="P27" s="58">
        <f t="shared" si="5"/>
        <v>10</v>
      </c>
      <c r="Q27" s="58">
        <f t="shared" si="5"/>
        <v>30</v>
      </c>
      <c r="R27" s="58">
        <f t="shared" si="5"/>
        <v>30</v>
      </c>
      <c r="S27" s="58">
        <f t="shared" si="5"/>
        <v>30</v>
      </c>
      <c r="T27" s="58">
        <f t="shared" si="5"/>
        <v>-25</v>
      </c>
      <c r="U27" s="58">
        <f t="shared" si="5"/>
        <v>-30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-8</v>
      </c>
      <c r="K28" s="58">
        <f t="shared" si="5"/>
        <v>-20</v>
      </c>
      <c r="L28" s="58">
        <f t="shared" si="5"/>
        <v>-40</v>
      </c>
      <c r="M28" s="58">
        <f t="shared" si="5"/>
        <v>-45</v>
      </c>
      <c r="N28" s="58">
        <f t="shared" si="5"/>
        <v>-45</v>
      </c>
      <c r="O28" s="58">
        <f t="shared" si="5"/>
        <v>-10</v>
      </c>
      <c r="P28" s="58">
        <f t="shared" si="5"/>
        <v>-10</v>
      </c>
      <c r="Q28" s="58">
        <f t="shared" si="5"/>
        <v>-45</v>
      </c>
      <c r="R28" s="58">
        <f t="shared" si="5"/>
        <v>-45</v>
      </c>
      <c r="S28" s="58">
        <f t="shared" si="5"/>
        <v>-45</v>
      </c>
      <c r="T28" s="58">
        <f t="shared" si="5"/>
        <v>-25</v>
      </c>
      <c r="U28" s="58">
        <f t="shared" si="5"/>
        <v>-30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-20</v>
      </c>
      <c r="K29" s="58">
        <f t="shared" si="6"/>
        <v>-20</v>
      </c>
      <c r="L29" s="58">
        <f t="shared" si="6"/>
        <v>-20</v>
      </c>
      <c r="M29" s="58">
        <f t="shared" si="6"/>
        <v>70</v>
      </c>
      <c r="N29" s="58">
        <f t="shared" si="6"/>
        <v>80</v>
      </c>
      <c r="O29" s="58">
        <f t="shared" si="6"/>
        <v>80</v>
      </c>
      <c r="P29" s="58">
        <f t="shared" si="6"/>
        <v>80</v>
      </c>
      <c r="Q29" s="58">
        <f t="shared" si="6"/>
        <v>80</v>
      </c>
      <c r="R29" s="58">
        <f t="shared" si="6"/>
        <v>80</v>
      </c>
      <c r="S29" s="58">
        <f t="shared" si="6"/>
        <v>80</v>
      </c>
      <c r="T29" s="58">
        <f t="shared" si="6"/>
        <v>15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0</v>
      </c>
      <c r="M30" s="58">
        <f t="shared" si="7"/>
        <v>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-30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I35" s="68">
        <f>I20</f>
        <v>0</v>
      </c>
      <c r="J35" s="68">
        <f t="shared" ref="J35:Q35" si="8">J20</f>
        <v>0</v>
      </c>
      <c r="K35" s="68">
        <f t="shared" si="8"/>
        <v>0</v>
      </c>
      <c r="L35" s="68">
        <f t="shared" si="8"/>
        <v>-75</v>
      </c>
      <c r="M35" s="68">
        <f t="shared" si="8"/>
        <v>-75</v>
      </c>
      <c r="N35" s="68">
        <f t="shared" si="8"/>
        <v>-120</v>
      </c>
      <c r="O35" s="68">
        <f t="shared" si="8"/>
        <v>-120</v>
      </c>
      <c r="P35" s="68">
        <f t="shared" si="8"/>
        <v>-120</v>
      </c>
      <c r="Q35" s="68">
        <f t="shared" si="8"/>
        <v>-90</v>
      </c>
      <c r="R35" s="68"/>
      <c r="S35" s="68"/>
      <c r="T35" s="68"/>
      <c r="U35" s="68"/>
      <c r="V35" s="68"/>
      <c r="W35" s="68"/>
      <c r="X35" s="68"/>
      <c r="Y35" s="68"/>
      <c r="Z35" s="68"/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I36" s="68">
        <f>I19</f>
        <v>0</v>
      </c>
      <c r="J36" s="68">
        <f t="shared" ref="J36:Q36" si="9">J19</f>
        <v>0</v>
      </c>
      <c r="K36" s="68">
        <f t="shared" si="9"/>
        <v>0</v>
      </c>
      <c r="L36" s="68">
        <f t="shared" si="9"/>
        <v>-75</v>
      </c>
      <c r="M36" s="68">
        <f t="shared" si="9"/>
        <v>-75</v>
      </c>
      <c r="N36" s="68">
        <f t="shared" si="9"/>
        <v>-120</v>
      </c>
      <c r="O36" s="68">
        <f t="shared" si="9"/>
        <v>-120</v>
      </c>
      <c r="P36" s="68">
        <f t="shared" si="9"/>
        <v>-120</v>
      </c>
      <c r="Q36" s="68">
        <f t="shared" si="9"/>
        <v>-90</v>
      </c>
      <c r="R36" s="68"/>
      <c r="S36" s="68"/>
      <c r="T36" s="68"/>
      <c r="U36" s="68"/>
      <c r="V36" s="68"/>
      <c r="W36" s="68"/>
      <c r="X36" s="68"/>
      <c r="Y36" s="68"/>
      <c r="Z36" s="68"/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/>
      <c r="K37" s="68"/>
      <c r="L37" s="68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/>
      <c r="K38" s="68"/>
      <c r="L38" s="68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60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60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 t="s">
        <v>76</v>
      </c>
      <c r="N1" s="17"/>
      <c r="O1" s="17"/>
      <c r="P1" s="17" t="s">
        <v>76</v>
      </c>
      <c r="Q1" s="17" t="s">
        <v>76</v>
      </c>
      <c r="R1" s="17"/>
      <c r="S1" s="17" t="s">
        <v>76</v>
      </c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75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122</v>
      </c>
      <c r="L4" s="62">
        <f t="shared" si="0"/>
        <v>132</v>
      </c>
      <c r="M4" s="62">
        <f t="shared" si="0"/>
        <v>142</v>
      </c>
      <c r="N4" s="62">
        <f t="shared" si="0"/>
        <v>147</v>
      </c>
      <c r="O4" s="62">
        <f t="shared" si="0"/>
        <v>187</v>
      </c>
      <c r="P4" s="62">
        <f t="shared" si="0"/>
        <v>207</v>
      </c>
      <c r="Q4" s="62">
        <f t="shared" si="0"/>
        <v>212</v>
      </c>
      <c r="R4" s="62">
        <f t="shared" si="0"/>
        <v>232</v>
      </c>
      <c r="S4" s="62">
        <f t="shared" si="0"/>
        <v>262</v>
      </c>
      <c r="T4" s="62">
        <f t="shared" si="0"/>
        <v>267</v>
      </c>
      <c r="U4" s="62">
        <f t="shared" si="0"/>
        <v>307</v>
      </c>
      <c r="V4" s="62">
        <f t="shared" si="0"/>
        <v>337</v>
      </c>
      <c r="W4" s="62">
        <f t="shared" si="0"/>
        <v>357</v>
      </c>
      <c r="X4" s="62">
        <f t="shared" si="0"/>
        <v>457</v>
      </c>
      <c r="Y4" s="62">
        <f t="shared" si="0"/>
        <v>557</v>
      </c>
      <c r="Z4" s="62">
        <f t="shared" si="0"/>
        <v>657</v>
      </c>
      <c r="AA4" s="62">
        <f t="shared" si="0"/>
        <v>757</v>
      </c>
      <c r="AB4" s="62">
        <f t="shared" si="0"/>
        <v>857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20</v>
      </c>
      <c r="K5" s="63">
        <v>10</v>
      </c>
      <c r="L5" s="63">
        <v>10</v>
      </c>
      <c r="M5" s="63">
        <v>5</v>
      </c>
      <c r="N5" s="63">
        <v>40</v>
      </c>
      <c r="O5" s="63">
        <v>20</v>
      </c>
      <c r="P5" s="63">
        <v>5</v>
      </c>
      <c r="Q5" s="63">
        <v>20</v>
      </c>
      <c r="R5" s="63">
        <v>30</v>
      </c>
      <c r="S5" s="63">
        <v>5</v>
      </c>
      <c r="T5" s="63">
        <v>20</v>
      </c>
      <c r="U5" s="63">
        <v>10</v>
      </c>
      <c r="V5" s="63">
        <v>20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20</v>
      </c>
      <c r="U6" s="63">
        <v>20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0</v>
      </c>
      <c r="U7" s="33">
        <v>0</v>
      </c>
      <c r="V7" s="33">
        <v>2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-10</v>
      </c>
      <c r="K8" s="38">
        <v>0</v>
      </c>
      <c r="L8" s="38">
        <v>-20</v>
      </c>
      <c r="M8" s="38">
        <v>-5</v>
      </c>
      <c r="N8" s="38">
        <v>-5</v>
      </c>
      <c r="O8" s="38">
        <v>15</v>
      </c>
      <c r="P8" s="38">
        <v>15</v>
      </c>
      <c r="Q8" s="38">
        <v>-5</v>
      </c>
      <c r="R8" s="38">
        <v>-5</v>
      </c>
      <c r="S8" s="38">
        <v>-5</v>
      </c>
      <c r="T8" s="38">
        <v>-30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-12</v>
      </c>
      <c r="K9" s="38">
        <v>-18</v>
      </c>
      <c r="L9" s="38">
        <v>10</v>
      </c>
      <c r="M9" s="38">
        <v>30</v>
      </c>
      <c r="N9" s="38">
        <v>30</v>
      </c>
      <c r="O9" s="38">
        <v>10</v>
      </c>
      <c r="P9" s="38">
        <v>10</v>
      </c>
      <c r="Q9" s="38">
        <v>30</v>
      </c>
      <c r="R9" s="38">
        <v>30</v>
      </c>
      <c r="S9" s="38">
        <v>30</v>
      </c>
      <c r="T9" s="38">
        <v>-25</v>
      </c>
      <c r="U9" s="38">
        <v>-30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-8</v>
      </c>
      <c r="K10" s="38">
        <v>-20</v>
      </c>
      <c r="L10" s="38">
        <v>-40</v>
      </c>
      <c r="M10" s="38">
        <v>-45</v>
      </c>
      <c r="N10" s="38">
        <v>-45</v>
      </c>
      <c r="O10" s="38">
        <v>-10</v>
      </c>
      <c r="P10" s="38">
        <v>-10</v>
      </c>
      <c r="Q10" s="38">
        <v>-45</v>
      </c>
      <c r="R10" s="38">
        <v>-45</v>
      </c>
      <c r="S10" s="38">
        <v>-45</v>
      </c>
      <c r="T10" s="38">
        <v>-25</v>
      </c>
      <c r="U10" s="38">
        <v>-30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-5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30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15</v>
      </c>
      <c r="L12" s="44">
        <v>25</v>
      </c>
      <c r="M12" s="44">
        <v>0</v>
      </c>
      <c r="N12" s="44">
        <v>0</v>
      </c>
      <c r="O12" s="44">
        <v>-20</v>
      </c>
      <c r="P12" s="44">
        <v>-20</v>
      </c>
      <c r="Q12" s="44">
        <v>0</v>
      </c>
      <c r="R12" s="44">
        <v>0</v>
      </c>
      <c r="S12" s="44">
        <v>0</v>
      </c>
      <c r="T12" s="44">
        <v>-5</v>
      </c>
      <c r="U12" s="44">
        <v>-10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-17</v>
      </c>
      <c r="K13" s="44">
        <v>-18</v>
      </c>
      <c r="L13" s="44">
        <v>-25</v>
      </c>
      <c r="M13" s="44">
        <v>-45</v>
      </c>
      <c r="N13" s="44">
        <v>-45</v>
      </c>
      <c r="O13" s="44">
        <v>0</v>
      </c>
      <c r="P13" s="44">
        <v>0</v>
      </c>
      <c r="Q13" s="44">
        <v>-45</v>
      </c>
      <c r="R13" s="44">
        <v>-45</v>
      </c>
      <c r="S13" s="44">
        <v>-45</v>
      </c>
      <c r="T13" s="44">
        <v>-35</v>
      </c>
      <c r="U13" s="44">
        <v>-25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-13</v>
      </c>
      <c r="K14" s="44">
        <v>-20</v>
      </c>
      <c r="L14" s="44">
        <v>0</v>
      </c>
      <c r="M14" s="44">
        <v>30</v>
      </c>
      <c r="N14" s="44">
        <v>30</v>
      </c>
      <c r="O14" s="44">
        <v>30</v>
      </c>
      <c r="P14" s="44">
        <v>30</v>
      </c>
      <c r="Q14" s="44">
        <v>30</v>
      </c>
      <c r="R14" s="44">
        <v>30</v>
      </c>
      <c r="S14" s="44">
        <v>30</v>
      </c>
      <c r="T14" s="44">
        <v>-35</v>
      </c>
      <c r="U14" s="44">
        <v>-25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-15</v>
      </c>
      <c r="L15" s="44">
        <v>-15</v>
      </c>
      <c r="M15" s="44">
        <v>5</v>
      </c>
      <c r="N15" s="44">
        <v>5</v>
      </c>
      <c r="O15" s="44">
        <v>5</v>
      </c>
      <c r="P15" s="44">
        <v>5</v>
      </c>
      <c r="Q15" s="44">
        <v>5</v>
      </c>
      <c r="R15" s="44">
        <v>5</v>
      </c>
      <c r="S15" s="44">
        <v>5</v>
      </c>
      <c r="T15" s="44">
        <v>-10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30</v>
      </c>
      <c r="K16" s="51">
        <v>45</v>
      </c>
      <c r="L16" s="51">
        <v>50</v>
      </c>
      <c r="M16" s="51">
        <v>100</v>
      </c>
      <c r="N16" s="51">
        <v>100</v>
      </c>
      <c r="O16" s="51">
        <v>100</v>
      </c>
      <c r="P16" s="51">
        <v>100</v>
      </c>
      <c r="Q16" s="51">
        <v>100</v>
      </c>
      <c r="R16" s="51">
        <v>50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-30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-150</v>
      </c>
      <c r="K21" s="44">
        <v>-40</v>
      </c>
      <c r="L21" s="44">
        <v>-30</v>
      </c>
      <c r="M21" s="44">
        <v>-60</v>
      </c>
      <c r="N21" s="44">
        <v>-120</v>
      </c>
      <c r="O21" s="44">
        <v>-120</v>
      </c>
      <c r="P21" s="44">
        <v>-150</v>
      </c>
      <c r="Q21" s="44">
        <v>-40</v>
      </c>
      <c r="R21" s="44">
        <v>0</v>
      </c>
      <c r="S21" s="44">
        <v>100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45</v>
      </c>
      <c r="K22" s="44">
        <v>20</v>
      </c>
      <c r="L22" s="44">
        <v>0</v>
      </c>
      <c r="M22" s="44">
        <v>100</v>
      </c>
      <c r="N22" s="44">
        <v>80</v>
      </c>
      <c r="O22" s="44">
        <v>80</v>
      </c>
      <c r="P22" s="44">
        <v>80</v>
      </c>
      <c r="Q22" s="44">
        <v>80</v>
      </c>
      <c r="R22" s="44">
        <v>80</v>
      </c>
      <c r="S22" s="44">
        <v>80</v>
      </c>
      <c r="T22" s="44">
        <v>15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-90</v>
      </c>
      <c r="N23" s="44">
        <v>-120</v>
      </c>
      <c r="O23" s="44">
        <v>-120</v>
      </c>
      <c r="P23" s="44">
        <v>-120</v>
      </c>
      <c r="Q23" s="44">
        <v>-90</v>
      </c>
      <c r="R23" s="44">
        <v>-80</v>
      </c>
      <c r="S23" s="44">
        <v>-80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-180</v>
      </c>
      <c r="K24" s="44">
        <v>-180</v>
      </c>
      <c r="L24" s="44">
        <v>-150</v>
      </c>
      <c r="M24" s="44">
        <v>-90</v>
      </c>
      <c r="N24" s="44">
        <v>-120</v>
      </c>
      <c r="O24" s="44">
        <v>-120</v>
      </c>
      <c r="P24" s="44">
        <v>-120</v>
      </c>
      <c r="Q24" s="44">
        <v>-90</v>
      </c>
      <c r="R24" s="44">
        <v>-80</v>
      </c>
      <c r="S24" s="44">
        <v>-80</v>
      </c>
      <c r="T24" s="44">
        <v>-180</v>
      </c>
      <c r="U24" s="44">
        <v>-180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-12</v>
      </c>
      <c r="K25" s="58">
        <f t="shared" si="3"/>
        <v>-18</v>
      </c>
      <c r="L25" s="58">
        <f t="shared" si="3"/>
        <v>10</v>
      </c>
      <c r="M25" s="58">
        <f t="shared" si="3"/>
        <v>30</v>
      </c>
      <c r="N25" s="58">
        <f t="shared" si="3"/>
        <v>30</v>
      </c>
      <c r="O25" s="58">
        <f t="shared" si="3"/>
        <v>10</v>
      </c>
      <c r="P25" s="58">
        <f t="shared" si="3"/>
        <v>10</v>
      </c>
      <c r="Q25" s="58">
        <f t="shared" si="3"/>
        <v>30</v>
      </c>
      <c r="R25" s="58">
        <f t="shared" si="3"/>
        <v>30</v>
      </c>
      <c r="S25" s="58">
        <f t="shared" si="3"/>
        <v>30</v>
      </c>
      <c r="T25" s="58">
        <f t="shared" si="3"/>
        <v>-25</v>
      </c>
      <c r="U25" s="58">
        <f t="shared" si="3"/>
        <v>-30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-8</v>
      </c>
      <c r="K26" s="58">
        <f t="shared" si="3"/>
        <v>-20</v>
      </c>
      <c r="L26" s="58">
        <f t="shared" si="3"/>
        <v>-40</v>
      </c>
      <c r="M26" s="58">
        <f t="shared" si="3"/>
        <v>-45</v>
      </c>
      <c r="N26" s="58">
        <f t="shared" si="3"/>
        <v>-45</v>
      </c>
      <c r="O26" s="58">
        <f t="shared" si="3"/>
        <v>-10</v>
      </c>
      <c r="P26" s="58">
        <f t="shared" si="3"/>
        <v>-10</v>
      </c>
      <c r="Q26" s="58">
        <f t="shared" si="3"/>
        <v>-45</v>
      </c>
      <c r="R26" s="58">
        <f t="shared" si="3"/>
        <v>-45</v>
      </c>
      <c r="S26" s="58">
        <f t="shared" si="3"/>
        <v>-45</v>
      </c>
      <c r="T26" s="58">
        <f t="shared" si="3"/>
        <v>-25</v>
      </c>
      <c r="U26" s="58">
        <f t="shared" si="3"/>
        <v>-30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-17</v>
      </c>
      <c r="K27" s="58">
        <f t="shared" si="5"/>
        <v>-18</v>
      </c>
      <c r="L27" s="58">
        <f t="shared" si="5"/>
        <v>-25</v>
      </c>
      <c r="M27" s="58">
        <f t="shared" si="5"/>
        <v>-45</v>
      </c>
      <c r="N27" s="58">
        <f t="shared" si="5"/>
        <v>-45</v>
      </c>
      <c r="O27" s="58">
        <f t="shared" si="5"/>
        <v>0</v>
      </c>
      <c r="P27" s="58">
        <f t="shared" si="5"/>
        <v>0</v>
      </c>
      <c r="Q27" s="58">
        <f t="shared" si="5"/>
        <v>-45</v>
      </c>
      <c r="R27" s="58">
        <f t="shared" si="5"/>
        <v>-45</v>
      </c>
      <c r="S27" s="58">
        <f t="shared" si="5"/>
        <v>-45</v>
      </c>
      <c r="T27" s="58">
        <f t="shared" si="5"/>
        <v>-35</v>
      </c>
      <c r="U27" s="58">
        <f t="shared" si="5"/>
        <v>-25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-13</v>
      </c>
      <c r="K28" s="58">
        <f t="shared" si="5"/>
        <v>-20</v>
      </c>
      <c r="L28" s="58">
        <f t="shared" si="5"/>
        <v>0</v>
      </c>
      <c r="M28" s="58">
        <f t="shared" si="5"/>
        <v>30</v>
      </c>
      <c r="N28" s="58">
        <f t="shared" si="5"/>
        <v>30</v>
      </c>
      <c r="O28" s="58">
        <f t="shared" si="5"/>
        <v>30</v>
      </c>
      <c r="P28" s="58">
        <f t="shared" si="5"/>
        <v>30</v>
      </c>
      <c r="Q28" s="58">
        <f t="shared" si="5"/>
        <v>30</v>
      </c>
      <c r="R28" s="58">
        <f t="shared" si="5"/>
        <v>30</v>
      </c>
      <c r="S28" s="58">
        <f t="shared" si="5"/>
        <v>30</v>
      </c>
      <c r="T28" s="58">
        <f t="shared" si="5"/>
        <v>-35</v>
      </c>
      <c r="U28" s="58">
        <f t="shared" si="5"/>
        <v>-25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0</v>
      </c>
      <c r="M29" s="58">
        <f t="shared" si="6"/>
        <v>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-30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45</v>
      </c>
      <c r="K30" s="58">
        <f t="shared" si="7"/>
        <v>20</v>
      </c>
      <c r="L30" s="58">
        <f t="shared" si="7"/>
        <v>0</v>
      </c>
      <c r="M30" s="58">
        <f t="shared" si="7"/>
        <v>100</v>
      </c>
      <c r="N30" s="58">
        <f t="shared" si="7"/>
        <v>80</v>
      </c>
      <c r="O30" s="58">
        <f t="shared" si="7"/>
        <v>80</v>
      </c>
      <c r="P30" s="58">
        <f t="shared" si="7"/>
        <v>80</v>
      </c>
      <c r="Q30" s="58">
        <f t="shared" si="7"/>
        <v>80</v>
      </c>
      <c r="R30" s="58">
        <f t="shared" si="7"/>
        <v>80</v>
      </c>
      <c r="S30" s="58">
        <f t="shared" si="7"/>
        <v>80</v>
      </c>
      <c r="T30" s="58">
        <f t="shared" si="7"/>
        <v>15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-10</v>
      </c>
      <c r="K35" s="68">
        <f t="shared" ref="K35:Z35" si="8">K8</f>
        <v>0</v>
      </c>
      <c r="L35" s="68">
        <f t="shared" si="8"/>
        <v>-20</v>
      </c>
      <c r="M35" s="68">
        <f t="shared" si="8"/>
        <v>-5</v>
      </c>
      <c r="N35" s="68">
        <f t="shared" si="8"/>
        <v>-5</v>
      </c>
      <c r="O35" s="68">
        <f t="shared" si="8"/>
        <v>15</v>
      </c>
      <c r="P35" s="68">
        <f t="shared" si="8"/>
        <v>15</v>
      </c>
      <c r="Q35" s="68">
        <f t="shared" si="8"/>
        <v>-5</v>
      </c>
      <c r="R35" s="68">
        <f t="shared" si="8"/>
        <v>-5</v>
      </c>
      <c r="S35" s="68">
        <f t="shared" si="8"/>
        <v>-5</v>
      </c>
      <c r="T35" s="68">
        <f t="shared" si="8"/>
        <v>-30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-17</v>
      </c>
      <c r="K36" s="68">
        <f t="shared" ref="K36:Z36" si="9">K9-5</f>
        <v>-23</v>
      </c>
      <c r="L36" s="68">
        <f t="shared" si="9"/>
        <v>5</v>
      </c>
      <c r="M36" s="68">
        <f t="shared" si="9"/>
        <v>25</v>
      </c>
      <c r="N36" s="68">
        <f t="shared" si="9"/>
        <v>25</v>
      </c>
      <c r="O36" s="68">
        <f t="shared" si="9"/>
        <v>5</v>
      </c>
      <c r="P36" s="68">
        <f t="shared" si="9"/>
        <v>5</v>
      </c>
      <c r="Q36" s="68">
        <f t="shared" si="9"/>
        <v>25</v>
      </c>
      <c r="R36" s="68">
        <f t="shared" si="9"/>
        <v>25</v>
      </c>
      <c r="S36" s="68">
        <f t="shared" si="9"/>
        <v>25</v>
      </c>
      <c r="T36" s="68">
        <f t="shared" si="9"/>
        <v>-30</v>
      </c>
      <c r="U36" s="68">
        <f t="shared" si="9"/>
        <v>-35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</v>
      </c>
      <c r="K37" s="68">
        <f t="shared" ref="K37:Z37" si="10">K10+5</f>
        <v>-15</v>
      </c>
      <c r="L37" s="68">
        <f t="shared" si="10"/>
        <v>-35</v>
      </c>
      <c r="M37" s="68">
        <f t="shared" si="10"/>
        <v>-40</v>
      </c>
      <c r="N37" s="68">
        <f t="shared" si="10"/>
        <v>-40</v>
      </c>
      <c r="O37" s="68">
        <f t="shared" si="10"/>
        <v>-5</v>
      </c>
      <c r="P37" s="68">
        <f t="shared" si="10"/>
        <v>-5</v>
      </c>
      <c r="Q37" s="68">
        <f t="shared" si="10"/>
        <v>-40</v>
      </c>
      <c r="R37" s="68">
        <f t="shared" si="10"/>
        <v>-40</v>
      </c>
      <c r="S37" s="68">
        <f t="shared" si="10"/>
        <v>-40</v>
      </c>
      <c r="T37" s="68">
        <f t="shared" si="10"/>
        <v>-20</v>
      </c>
      <c r="U37" s="68">
        <f t="shared" si="10"/>
        <v>-25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10</v>
      </c>
      <c r="K38" s="68">
        <f t="shared" si="11"/>
        <v>-5</v>
      </c>
      <c r="L38" s="68">
        <f t="shared" si="11"/>
        <v>0</v>
      </c>
      <c r="M38" s="68">
        <f t="shared" si="11"/>
        <v>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30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15</v>
      </c>
      <c r="L39" s="68">
        <f t="shared" si="11"/>
        <v>25</v>
      </c>
      <c r="M39" s="68">
        <f t="shared" si="11"/>
        <v>0</v>
      </c>
      <c r="N39" s="68">
        <f t="shared" si="11"/>
        <v>0</v>
      </c>
      <c r="O39" s="68">
        <f t="shared" si="11"/>
        <v>-20</v>
      </c>
      <c r="P39" s="68">
        <f t="shared" si="11"/>
        <v>-20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-5</v>
      </c>
      <c r="U39" s="68">
        <f t="shared" si="11"/>
        <v>-10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-22</v>
      </c>
      <c r="K40" s="68">
        <f t="shared" ref="K40:Z40" si="12">K13-5</f>
        <v>-23</v>
      </c>
      <c r="L40" s="68">
        <f t="shared" si="12"/>
        <v>-30</v>
      </c>
      <c r="M40" s="68">
        <f t="shared" si="12"/>
        <v>-50</v>
      </c>
      <c r="N40" s="68">
        <f t="shared" si="12"/>
        <v>-50</v>
      </c>
      <c r="O40" s="68">
        <f t="shared" si="12"/>
        <v>-5</v>
      </c>
      <c r="P40" s="68">
        <f t="shared" si="12"/>
        <v>-5</v>
      </c>
      <c r="Q40" s="68">
        <f t="shared" si="12"/>
        <v>-50</v>
      </c>
      <c r="R40" s="68">
        <f t="shared" si="12"/>
        <v>-50</v>
      </c>
      <c r="S40" s="68">
        <f t="shared" si="12"/>
        <v>-50</v>
      </c>
      <c r="T40" s="68">
        <f t="shared" si="12"/>
        <v>-40</v>
      </c>
      <c r="U40" s="68">
        <f t="shared" si="12"/>
        <v>-30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-8</v>
      </c>
      <c r="K41" s="68">
        <f t="shared" ref="K41:Z41" si="13">K14+5</f>
        <v>-15</v>
      </c>
      <c r="L41" s="68">
        <f t="shared" si="13"/>
        <v>5</v>
      </c>
      <c r="M41" s="68">
        <f t="shared" si="13"/>
        <v>35</v>
      </c>
      <c r="N41" s="68">
        <f t="shared" si="13"/>
        <v>35</v>
      </c>
      <c r="O41" s="68">
        <f t="shared" si="13"/>
        <v>35</v>
      </c>
      <c r="P41" s="68">
        <f t="shared" si="13"/>
        <v>35</v>
      </c>
      <c r="Q41" s="68">
        <f t="shared" si="13"/>
        <v>35</v>
      </c>
      <c r="R41" s="68">
        <f t="shared" si="13"/>
        <v>35</v>
      </c>
      <c r="S41" s="68">
        <f t="shared" si="13"/>
        <v>35</v>
      </c>
      <c r="T41" s="68">
        <f t="shared" si="13"/>
        <v>-30</v>
      </c>
      <c r="U41" s="68">
        <f t="shared" si="13"/>
        <v>-20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-15</v>
      </c>
      <c r="L42" s="68">
        <f t="shared" si="11"/>
        <v>-15</v>
      </c>
      <c r="M42" s="68">
        <f t="shared" si="11"/>
        <v>5</v>
      </c>
      <c r="N42" s="68">
        <f t="shared" si="11"/>
        <v>5</v>
      </c>
      <c r="O42" s="68">
        <f t="shared" si="11"/>
        <v>5</v>
      </c>
      <c r="P42" s="68">
        <f t="shared" si="11"/>
        <v>5</v>
      </c>
      <c r="Q42" s="68">
        <f t="shared" si="11"/>
        <v>5</v>
      </c>
      <c r="R42" s="68">
        <f t="shared" si="11"/>
        <v>5</v>
      </c>
      <c r="S42" s="68">
        <f t="shared" si="11"/>
        <v>5</v>
      </c>
      <c r="T42" s="68">
        <f t="shared" si="11"/>
        <v>-10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workbookViewId="0">
      <selection activeCell="H5" sqref="H5:R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152</v>
      </c>
      <c r="L4" s="62">
        <f t="shared" si="0"/>
        <v>202</v>
      </c>
      <c r="M4" s="62">
        <f t="shared" si="0"/>
        <v>283</v>
      </c>
      <c r="N4" s="62">
        <f t="shared" si="0"/>
        <v>333</v>
      </c>
      <c r="O4" s="62">
        <f t="shared" si="0"/>
        <v>413</v>
      </c>
      <c r="P4" s="62">
        <f t="shared" si="0"/>
        <v>513</v>
      </c>
      <c r="Q4" s="62">
        <f t="shared" si="0"/>
        <v>613</v>
      </c>
      <c r="R4" s="62">
        <f t="shared" si="0"/>
        <v>713</v>
      </c>
      <c r="S4" s="62">
        <f t="shared" si="0"/>
        <v>813</v>
      </c>
      <c r="T4" s="62">
        <f t="shared" si="0"/>
        <v>913</v>
      </c>
      <c r="U4" s="62">
        <f t="shared" si="0"/>
        <v>1013</v>
      </c>
      <c r="V4" s="62">
        <f t="shared" si="0"/>
        <v>1113</v>
      </c>
      <c r="W4" s="62">
        <f t="shared" si="0"/>
        <v>1213</v>
      </c>
      <c r="X4" s="62">
        <f t="shared" si="0"/>
        <v>1313</v>
      </c>
      <c r="Y4" s="62">
        <f t="shared" si="0"/>
        <v>1413</v>
      </c>
      <c r="Z4" s="62">
        <f t="shared" si="0"/>
        <v>1513</v>
      </c>
      <c r="AA4" s="62">
        <f t="shared" si="0"/>
        <v>1613</v>
      </c>
      <c r="AB4" s="62">
        <f t="shared" si="0"/>
        <v>1713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50</v>
      </c>
      <c r="K5" s="63">
        <v>50</v>
      </c>
      <c r="L5" s="63">
        <v>11</v>
      </c>
      <c r="M5" s="63">
        <v>50</v>
      </c>
      <c r="N5" s="63">
        <v>80</v>
      </c>
      <c r="O5" s="63">
        <v>100</v>
      </c>
      <c r="P5" s="63">
        <v>100</v>
      </c>
      <c r="Q5" s="63">
        <v>100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70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2</v>
      </c>
      <c r="O7" s="33">
        <v>0</v>
      </c>
      <c r="P7" s="33">
        <v>0</v>
      </c>
      <c r="Q7" s="33">
        <v>0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-25</v>
      </c>
      <c r="L8" s="38">
        <v>-30</v>
      </c>
      <c r="M8" s="38">
        <v>10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25</v>
      </c>
      <c r="L11" s="38">
        <v>30</v>
      </c>
      <c r="M11" s="38">
        <v>-10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-25</v>
      </c>
      <c r="L12" s="44">
        <v>-30</v>
      </c>
      <c r="M12" s="44">
        <v>10</v>
      </c>
      <c r="N12" s="44">
        <v>0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25</v>
      </c>
      <c r="L15" s="44">
        <v>30</v>
      </c>
      <c r="M15" s="44">
        <v>-10</v>
      </c>
      <c r="N15" s="44">
        <v>0</v>
      </c>
      <c r="O15" s="44">
        <v>0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10</v>
      </c>
      <c r="K17" s="38">
        <v>0</v>
      </c>
      <c r="L17" s="38">
        <v>-45</v>
      </c>
      <c r="M17" s="38">
        <v>-25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10</v>
      </c>
      <c r="M18" s="38">
        <v>20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-120</v>
      </c>
      <c r="L19" s="38">
        <v>-110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-120</v>
      </c>
      <c r="L20" s="38">
        <v>-110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10</v>
      </c>
      <c r="K21" s="44">
        <v>0</v>
      </c>
      <c r="L21" s="44">
        <v>-45</v>
      </c>
      <c r="M21" s="44">
        <v>-25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10</v>
      </c>
      <c r="M22" s="44">
        <v>20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-120</v>
      </c>
      <c r="L23" s="44">
        <v>-110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-120</v>
      </c>
      <c r="L24" s="44">
        <v>-110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0</v>
      </c>
      <c r="O26" s="58">
        <f t="shared" si="3"/>
        <v>0</v>
      </c>
      <c r="P26" s="58">
        <f t="shared" si="3"/>
        <v>0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0</v>
      </c>
      <c r="O28" s="58">
        <f t="shared" si="5"/>
        <v>0</v>
      </c>
      <c r="P28" s="58">
        <f t="shared" si="5"/>
        <v>0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0</v>
      </c>
      <c r="K29" s="58">
        <f t="shared" si="6"/>
        <v>0</v>
      </c>
      <c r="L29" s="58">
        <f t="shared" si="6"/>
        <v>10</v>
      </c>
      <c r="M29" s="58">
        <f t="shared" si="6"/>
        <v>20</v>
      </c>
      <c r="N29" s="58">
        <f t="shared" si="6"/>
        <v>0</v>
      </c>
      <c r="O29" s="58">
        <f t="shared" si="6"/>
        <v>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0</v>
      </c>
      <c r="K30" s="58">
        <f t="shared" si="7"/>
        <v>0</v>
      </c>
      <c r="L30" s="58">
        <f t="shared" si="7"/>
        <v>10</v>
      </c>
      <c r="M30" s="58">
        <f t="shared" si="7"/>
        <v>20</v>
      </c>
      <c r="N30" s="58">
        <f t="shared" si="7"/>
        <v>0</v>
      </c>
      <c r="O30" s="58">
        <f t="shared" si="7"/>
        <v>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-25</v>
      </c>
      <c r="L35" s="68">
        <f t="shared" si="8"/>
        <v>-30</v>
      </c>
      <c r="M35" s="68">
        <f t="shared" si="8"/>
        <v>10</v>
      </c>
      <c r="N35" s="68">
        <f t="shared" si="8"/>
        <v>0</v>
      </c>
      <c r="O35" s="68">
        <f t="shared" si="8"/>
        <v>0</v>
      </c>
      <c r="P35" s="68">
        <f t="shared" si="8"/>
        <v>0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</v>
      </c>
      <c r="O36" s="68">
        <f t="shared" si="9"/>
        <v>-5</v>
      </c>
      <c r="P36" s="68">
        <f t="shared" si="9"/>
        <v>-5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5</v>
      </c>
      <c r="O37" s="68">
        <f t="shared" si="10"/>
        <v>5</v>
      </c>
      <c r="P37" s="68">
        <f t="shared" si="10"/>
        <v>5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25</v>
      </c>
      <c r="L38" s="68">
        <f t="shared" si="11"/>
        <v>30</v>
      </c>
      <c r="M38" s="68">
        <f t="shared" si="11"/>
        <v>-10</v>
      </c>
      <c r="N38" s="68">
        <f t="shared" si="11"/>
        <v>0</v>
      </c>
      <c r="O38" s="68">
        <f t="shared" si="11"/>
        <v>0</v>
      </c>
      <c r="P38" s="68">
        <f t="shared" si="11"/>
        <v>0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-25</v>
      </c>
      <c r="L39" s="68">
        <f t="shared" si="11"/>
        <v>-30</v>
      </c>
      <c r="M39" s="68">
        <f t="shared" si="11"/>
        <v>10</v>
      </c>
      <c r="N39" s="68">
        <f t="shared" si="11"/>
        <v>0</v>
      </c>
      <c r="O39" s="68">
        <f t="shared" si="11"/>
        <v>0</v>
      </c>
      <c r="P39" s="68">
        <f t="shared" si="11"/>
        <v>0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</v>
      </c>
      <c r="O40" s="68">
        <f t="shared" si="12"/>
        <v>-5</v>
      </c>
      <c r="P40" s="68">
        <f t="shared" si="12"/>
        <v>-5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5</v>
      </c>
      <c r="O41" s="68">
        <f t="shared" si="13"/>
        <v>5</v>
      </c>
      <c r="P41" s="68">
        <f t="shared" si="13"/>
        <v>5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25</v>
      </c>
      <c r="L42" s="68">
        <f t="shared" si="11"/>
        <v>30</v>
      </c>
      <c r="M42" s="68">
        <f t="shared" si="11"/>
        <v>-10</v>
      </c>
      <c r="N42" s="68">
        <f t="shared" si="11"/>
        <v>0</v>
      </c>
      <c r="O42" s="68">
        <f t="shared" si="11"/>
        <v>0</v>
      </c>
      <c r="P42" s="68">
        <f t="shared" si="11"/>
        <v>0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workbookViewId="0">
      <selection activeCell="J48" sqref="J48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5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46</v>
      </c>
      <c r="K3" s="61" t="s">
        <v>59</v>
      </c>
      <c r="L3" s="61" t="s">
        <v>58</v>
      </c>
      <c r="M3" s="61" t="s">
        <v>57</v>
      </c>
      <c r="N3" s="61" t="s">
        <v>56</v>
      </c>
      <c r="O3" s="61" t="s">
        <v>55</v>
      </c>
      <c r="P3" s="61" t="s">
        <v>54</v>
      </c>
      <c r="Q3" s="61" t="s">
        <v>53</v>
      </c>
      <c r="R3" s="61" t="s">
        <v>52</v>
      </c>
      <c r="S3" s="61" t="s">
        <v>51</v>
      </c>
      <c r="T3" s="61" t="s">
        <v>50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202</v>
      </c>
      <c r="L4" s="62">
        <f t="shared" si="0"/>
        <v>252</v>
      </c>
      <c r="M4" s="62">
        <f t="shared" si="0"/>
        <v>302</v>
      </c>
      <c r="N4" s="62">
        <f t="shared" si="0"/>
        <v>352</v>
      </c>
      <c r="O4" s="62">
        <f t="shared" si="0"/>
        <v>442</v>
      </c>
      <c r="P4" s="62">
        <f t="shared" si="0"/>
        <v>492</v>
      </c>
      <c r="Q4" s="62">
        <f t="shared" si="0"/>
        <v>542</v>
      </c>
      <c r="R4" s="62">
        <f t="shared" si="0"/>
        <v>622</v>
      </c>
      <c r="S4" s="62">
        <f t="shared" si="0"/>
        <v>722</v>
      </c>
      <c r="T4" s="62">
        <f t="shared" si="0"/>
        <v>822</v>
      </c>
      <c r="U4" s="62">
        <f t="shared" si="0"/>
        <v>922</v>
      </c>
      <c r="V4" s="62">
        <f t="shared" si="0"/>
        <v>1022</v>
      </c>
      <c r="W4" s="62">
        <f t="shared" si="0"/>
        <v>1122</v>
      </c>
      <c r="X4" s="62">
        <f t="shared" si="0"/>
        <v>1222</v>
      </c>
      <c r="Y4" s="62">
        <f t="shared" si="0"/>
        <v>1322</v>
      </c>
      <c r="Z4" s="62">
        <f t="shared" si="0"/>
        <v>1422</v>
      </c>
      <c r="AA4" s="62">
        <f t="shared" si="0"/>
        <v>1522</v>
      </c>
      <c r="AB4" s="62">
        <f t="shared" si="0"/>
        <v>1622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100</v>
      </c>
      <c r="K5" s="63">
        <v>50</v>
      </c>
      <c r="L5" s="63">
        <v>50</v>
      </c>
      <c r="M5" s="63">
        <v>50</v>
      </c>
      <c r="N5" s="63">
        <v>20</v>
      </c>
      <c r="O5" s="63">
        <v>50</v>
      </c>
      <c r="P5" s="63">
        <v>50</v>
      </c>
      <c r="Q5" s="63">
        <v>80</v>
      </c>
      <c r="R5" s="63">
        <v>100</v>
      </c>
      <c r="S5" s="63">
        <v>100</v>
      </c>
      <c r="T5" s="63">
        <v>100</v>
      </c>
      <c r="U5" s="63">
        <v>100</v>
      </c>
      <c r="V5" s="63">
        <v>100</v>
      </c>
      <c r="W5" s="63">
        <v>100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70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2</v>
      </c>
      <c r="R7" s="33">
        <v>0</v>
      </c>
      <c r="S7" s="33">
        <v>0</v>
      </c>
      <c r="T7" s="33">
        <v>2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52.1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10</v>
      </c>
      <c r="K8" s="38">
        <v>10</v>
      </c>
      <c r="L8" s="38">
        <v>-10</v>
      </c>
      <c r="M8" s="38">
        <v>-30</v>
      </c>
      <c r="N8" s="38">
        <v>-30</v>
      </c>
      <c r="O8" s="38">
        <v>10</v>
      </c>
      <c r="P8" s="38">
        <v>5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3.2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-45</v>
      </c>
      <c r="K9" s="38">
        <v>-45</v>
      </c>
      <c r="L9" s="38">
        <v>-45</v>
      </c>
      <c r="M9" s="38">
        <v>-45</v>
      </c>
      <c r="N9" s="38">
        <v>-45</v>
      </c>
      <c r="O9" s="38">
        <v>-45</v>
      </c>
      <c r="P9" s="38">
        <v>-25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-2.5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-40</v>
      </c>
      <c r="K10" s="38">
        <v>-40</v>
      </c>
      <c r="L10" s="38">
        <v>-40</v>
      </c>
      <c r="M10" s="38">
        <v>-40</v>
      </c>
      <c r="N10" s="38">
        <v>-40</v>
      </c>
      <c r="O10" s="38">
        <v>-40</v>
      </c>
      <c r="P10" s="38">
        <v>-25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11.8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-10</v>
      </c>
      <c r="K11" s="38">
        <v>-10</v>
      </c>
      <c r="L11" s="38">
        <v>10</v>
      </c>
      <c r="M11" s="38">
        <v>30</v>
      </c>
      <c r="N11" s="38">
        <v>30</v>
      </c>
      <c r="O11" s="38">
        <v>-10</v>
      </c>
      <c r="P11" s="38">
        <v>-5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54.7</v>
      </c>
      <c r="D12" s="11">
        <v>1</v>
      </c>
      <c r="E12" s="43">
        <f>IF(E8=0,1,0)</f>
        <v>0</v>
      </c>
      <c r="F12" s="44">
        <v>53</v>
      </c>
      <c r="G12" s="44">
        <v>0</v>
      </c>
      <c r="H12" s="44">
        <v>0</v>
      </c>
      <c r="I12" s="44">
        <v>0</v>
      </c>
      <c r="J12" s="44">
        <v>10</v>
      </c>
      <c r="K12" s="44">
        <v>10</v>
      </c>
      <c r="L12" s="44">
        <v>-10</v>
      </c>
      <c r="M12" s="44">
        <v>-30</v>
      </c>
      <c r="N12" s="44">
        <v>-30</v>
      </c>
      <c r="O12" s="44">
        <v>10</v>
      </c>
      <c r="P12" s="44">
        <v>5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4.3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-45</v>
      </c>
      <c r="K13" s="44">
        <v>-45</v>
      </c>
      <c r="L13" s="44">
        <v>-45</v>
      </c>
      <c r="M13" s="44">
        <v>-45</v>
      </c>
      <c r="N13" s="44">
        <v>-45</v>
      </c>
      <c r="O13" s="44">
        <v>-45</v>
      </c>
      <c r="P13" s="44">
        <v>-25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-1.3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-40</v>
      </c>
      <c r="K14" s="44">
        <v>-40</v>
      </c>
      <c r="L14" s="44">
        <v>-40</v>
      </c>
      <c r="M14" s="44">
        <v>-40</v>
      </c>
      <c r="N14" s="44">
        <v>-40</v>
      </c>
      <c r="O14" s="44">
        <v>-40</v>
      </c>
      <c r="P14" s="44">
        <v>-25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18.3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-10</v>
      </c>
      <c r="K15" s="44">
        <v>-10</v>
      </c>
      <c r="L15" s="44">
        <v>10</v>
      </c>
      <c r="M15" s="44">
        <v>30</v>
      </c>
      <c r="N15" s="44">
        <v>30</v>
      </c>
      <c r="O15" s="44">
        <v>-10</v>
      </c>
      <c r="P15" s="44">
        <v>-5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57.9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30</v>
      </c>
      <c r="K17" s="38">
        <v>-120</v>
      </c>
      <c r="L17" s="38">
        <v>-130</v>
      </c>
      <c r="M17" s="38">
        <v>-100</v>
      </c>
      <c r="N17" s="38">
        <v>-60</v>
      </c>
      <c r="O17" s="38">
        <v>-70</v>
      </c>
      <c r="P17" s="38">
        <v>-50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3.4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90</v>
      </c>
      <c r="K18" s="38">
        <v>100</v>
      </c>
      <c r="L18" s="38">
        <v>80</v>
      </c>
      <c r="M18" s="38">
        <v>-10</v>
      </c>
      <c r="N18" s="38">
        <v>-10</v>
      </c>
      <c r="O18" s="38">
        <v>30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102.3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-150</v>
      </c>
      <c r="L19" s="38">
        <v>-270</v>
      </c>
      <c r="M19" s="38">
        <v>-250</v>
      </c>
      <c r="N19" s="38">
        <v>-150</v>
      </c>
      <c r="O19" s="38">
        <v>-150</v>
      </c>
      <c r="P19" s="38">
        <v>-45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101.4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-150</v>
      </c>
      <c r="L20" s="38">
        <v>-270</v>
      </c>
      <c r="M20" s="38">
        <v>-250</v>
      </c>
      <c r="N20" s="38">
        <v>-150</v>
      </c>
      <c r="O20" s="38">
        <v>-150</v>
      </c>
      <c r="P20" s="38">
        <v>-45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63.1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30</v>
      </c>
      <c r="K21" s="44">
        <v>-120</v>
      </c>
      <c r="L21" s="44">
        <v>-130</v>
      </c>
      <c r="M21" s="44">
        <v>-100</v>
      </c>
      <c r="N21" s="44">
        <v>-60</v>
      </c>
      <c r="O21" s="44">
        <v>-70</v>
      </c>
      <c r="P21" s="44">
        <v>-50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0.7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90</v>
      </c>
      <c r="K22" s="44">
        <v>100</v>
      </c>
      <c r="L22" s="44">
        <v>80</v>
      </c>
      <c r="M22" s="44">
        <v>-10</v>
      </c>
      <c r="N22" s="44">
        <v>-10</v>
      </c>
      <c r="O22" s="44">
        <v>30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101.8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-150</v>
      </c>
      <c r="L23" s="44">
        <v>-270</v>
      </c>
      <c r="M23" s="44">
        <v>-250</v>
      </c>
      <c r="N23" s="44">
        <v>-150</v>
      </c>
      <c r="O23" s="44">
        <v>-150</v>
      </c>
      <c r="P23" s="44">
        <v>-45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101.9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-150</v>
      </c>
      <c r="L24" s="44">
        <v>-270</v>
      </c>
      <c r="M24" s="44">
        <v>-250</v>
      </c>
      <c r="N24" s="44">
        <v>-150</v>
      </c>
      <c r="O24" s="44">
        <v>-150</v>
      </c>
      <c r="P24" s="44">
        <v>-45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2.9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3">H9</f>
        <v>0</v>
      </c>
      <c r="I25" s="58">
        <f t="shared" si="3"/>
        <v>0</v>
      </c>
      <c r="J25" s="58">
        <f t="shared" si="3"/>
        <v>-45</v>
      </c>
      <c r="K25" s="58">
        <f t="shared" si="3"/>
        <v>-45</v>
      </c>
      <c r="L25" s="58">
        <f t="shared" si="3"/>
        <v>-45</v>
      </c>
      <c r="M25" s="58">
        <f t="shared" si="3"/>
        <v>-45</v>
      </c>
      <c r="N25" s="58">
        <f t="shared" si="3"/>
        <v>-45</v>
      </c>
      <c r="O25" s="58">
        <f t="shared" si="3"/>
        <v>-45</v>
      </c>
      <c r="P25" s="58">
        <f t="shared" si="3"/>
        <v>-25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-1.9</v>
      </c>
      <c r="D26" s="55"/>
      <c r="E26" s="56">
        <f>E10</f>
        <v>1</v>
      </c>
      <c r="F26" s="57">
        <v>-1.8</v>
      </c>
      <c r="G26" s="58">
        <f t="shared" ref="G26:H26" si="4">G10</f>
        <v>0</v>
      </c>
      <c r="H26" s="58">
        <f t="shared" si="4"/>
        <v>0</v>
      </c>
      <c r="I26" s="58">
        <f t="shared" si="3"/>
        <v>0</v>
      </c>
      <c r="J26" s="58">
        <f t="shared" si="3"/>
        <v>-40</v>
      </c>
      <c r="K26" s="58">
        <f t="shared" si="3"/>
        <v>-40</v>
      </c>
      <c r="L26" s="58">
        <f t="shared" si="3"/>
        <v>-40</v>
      </c>
      <c r="M26" s="58">
        <f t="shared" si="3"/>
        <v>-40</v>
      </c>
      <c r="N26" s="58">
        <f t="shared" si="3"/>
        <v>-40</v>
      </c>
      <c r="O26" s="58">
        <f t="shared" si="3"/>
        <v>-40</v>
      </c>
      <c r="P26" s="58">
        <f t="shared" si="3"/>
        <v>-25</v>
      </c>
      <c r="Q26" s="58">
        <f t="shared" si="3"/>
        <v>0</v>
      </c>
      <c r="R26" s="58">
        <f t="shared" si="3"/>
        <v>0</v>
      </c>
      <c r="S26" s="58">
        <f t="shared" si="3"/>
        <v>0</v>
      </c>
      <c r="T26" s="58">
        <f t="shared" si="3"/>
        <v>0</v>
      </c>
      <c r="U26" s="58">
        <f t="shared" si="3"/>
        <v>0</v>
      </c>
      <c r="V26" s="58">
        <f t="shared" si="3"/>
        <v>0</v>
      </c>
      <c r="W26" s="58">
        <f t="shared" si="3"/>
        <v>0</v>
      </c>
      <c r="X26" s="58">
        <f t="shared" si="3"/>
        <v>0</v>
      </c>
      <c r="Y26" s="58">
        <f t="shared" si="3"/>
        <v>0</v>
      </c>
      <c r="Z26" s="58">
        <f t="shared" si="3"/>
        <v>0</v>
      </c>
      <c r="AA26" s="58">
        <f t="shared" si="3"/>
        <v>0</v>
      </c>
      <c r="AB26" s="58">
        <f t="shared" si="3"/>
        <v>0</v>
      </c>
    </row>
    <row r="27" spans="1:28">
      <c r="A27" s="52" t="s">
        <v>12</v>
      </c>
      <c r="B27" s="53">
        <v>9</v>
      </c>
      <c r="C27" s="54">
        <v>3.4</v>
      </c>
      <c r="D27" s="55"/>
      <c r="E27" s="56">
        <f>E13</f>
        <v>1</v>
      </c>
      <c r="F27" s="57">
        <v>4.8</v>
      </c>
      <c r="G27" s="58">
        <f t="shared" ref="G27:AB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-45</v>
      </c>
      <c r="K27" s="58">
        <f t="shared" si="5"/>
        <v>-45</v>
      </c>
      <c r="L27" s="58">
        <f t="shared" si="5"/>
        <v>-45</v>
      </c>
      <c r="M27" s="58">
        <f t="shared" si="5"/>
        <v>-45</v>
      </c>
      <c r="N27" s="58">
        <f t="shared" si="5"/>
        <v>-45</v>
      </c>
      <c r="O27" s="58">
        <f t="shared" si="5"/>
        <v>-45</v>
      </c>
      <c r="P27" s="58">
        <f t="shared" si="5"/>
        <v>-25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si="5"/>
        <v>0</v>
      </c>
      <c r="X27" s="58">
        <f t="shared" si="5"/>
        <v>0</v>
      </c>
      <c r="Y27" s="58">
        <f t="shared" si="5"/>
        <v>0</v>
      </c>
      <c r="Z27" s="58">
        <f t="shared" si="5"/>
        <v>0</v>
      </c>
      <c r="AA27" s="58">
        <f t="shared" si="5"/>
        <v>0</v>
      </c>
      <c r="AB27" s="58">
        <f t="shared" si="5"/>
        <v>0</v>
      </c>
    </row>
    <row r="28" spans="1:28">
      <c r="A28" s="52" t="s">
        <v>13</v>
      </c>
      <c r="B28" s="53">
        <v>11</v>
      </c>
      <c r="C28" s="54">
        <v>-0.3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5"/>
        <v>0</v>
      </c>
      <c r="I28" s="58">
        <f t="shared" si="5"/>
        <v>0</v>
      </c>
      <c r="J28" s="58">
        <f t="shared" si="5"/>
        <v>-40</v>
      </c>
      <c r="K28" s="58">
        <f t="shared" si="5"/>
        <v>-40</v>
      </c>
      <c r="L28" s="58">
        <f t="shared" si="5"/>
        <v>-40</v>
      </c>
      <c r="M28" s="58">
        <f t="shared" si="5"/>
        <v>-40</v>
      </c>
      <c r="N28" s="58">
        <f t="shared" si="5"/>
        <v>-40</v>
      </c>
      <c r="O28" s="58">
        <f t="shared" si="5"/>
        <v>-40</v>
      </c>
      <c r="P28" s="58">
        <f t="shared" si="5"/>
        <v>-25</v>
      </c>
      <c r="Q28" s="58">
        <f t="shared" si="5"/>
        <v>0</v>
      </c>
      <c r="R28" s="58">
        <f t="shared" si="5"/>
        <v>0</v>
      </c>
      <c r="S28" s="58">
        <f t="shared" si="5"/>
        <v>0</v>
      </c>
      <c r="T28" s="58">
        <f t="shared" si="5"/>
        <v>0</v>
      </c>
      <c r="U28" s="58">
        <f t="shared" si="5"/>
        <v>0</v>
      </c>
      <c r="V28" s="58">
        <f t="shared" si="5"/>
        <v>0</v>
      </c>
      <c r="W28" s="58">
        <f t="shared" si="5"/>
        <v>0</v>
      </c>
      <c r="X28" s="58">
        <f t="shared" si="5"/>
        <v>0</v>
      </c>
      <c r="Y28" s="58">
        <f t="shared" si="5"/>
        <v>0</v>
      </c>
      <c r="Z28" s="58">
        <f t="shared" si="5"/>
        <v>0</v>
      </c>
      <c r="AA28" s="58">
        <f t="shared" si="5"/>
        <v>0</v>
      </c>
      <c r="AB28" s="58">
        <f t="shared" si="5"/>
        <v>0</v>
      </c>
    </row>
    <row r="29" spans="1:28">
      <c r="A29" s="52" t="s">
        <v>17</v>
      </c>
      <c r="B29" s="53">
        <v>16</v>
      </c>
      <c r="C29" s="54">
        <v>1.4</v>
      </c>
      <c r="D29" s="55"/>
      <c r="E29" s="56">
        <f>IF(E18=0,1,0)</f>
        <v>1</v>
      </c>
      <c r="F29" s="57">
        <v>-0.9</v>
      </c>
      <c r="G29" s="58">
        <f t="shared" ref="G29:AB29" si="6">G18</f>
        <v>0</v>
      </c>
      <c r="H29" s="58">
        <f t="shared" si="6"/>
        <v>0</v>
      </c>
      <c r="I29" s="58">
        <f t="shared" si="6"/>
        <v>0</v>
      </c>
      <c r="J29" s="58">
        <f t="shared" si="6"/>
        <v>90</v>
      </c>
      <c r="K29" s="58">
        <f t="shared" si="6"/>
        <v>100</v>
      </c>
      <c r="L29" s="58">
        <f t="shared" si="6"/>
        <v>80</v>
      </c>
      <c r="M29" s="58">
        <f t="shared" si="6"/>
        <v>-10</v>
      </c>
      <c r="N29" s="58">
        <f t="shared" si="6"/>
        <v>-10</v>
      </c>
      <c r="O29" s="58">
        <f t="shared" si="6"/>
        <v>30</v>
      </c>
      <c r="P29" s="58">
        <f t="shared" si="6"/>
        <v>0</v>
      </c>
      <c r="Q29" s="58">
        <f t="shared" si="6"/>
        <v>0</v>
      </c>
      <c r="R29" s="58">
        <f t="shared" si="6"/>
        <v>0</v>
      </c>
      <c r="S29" s="58">
        <f t="shared" si="6"/>
        <v>0</v>
      </c>
      <c r="T29" s="58">
        <f t="shared" si="6"/>
        <v>0</v>
      </c>
      <c r="U29" s="58">
        <f t="shared" si="6"/>
        <v>0</v>
      </c>
      <c r="V29" s="58">
        <f t="shared" si="6"/>
        <v>0</v>
      </c>
      <c r="W29" s="58">
        <f t="shared" si="6"/>
        <v>0</v>
      </c>
      <c r="X29" s="58">
        <f t="shared" si="6"/>
        <v>0</v>
      </c>
      <c r="Y29" s="58">
        <f t="shared" si="6"/>
        <v>0</v>
      </c>
      <c r="Z29" s="58">
        <f t="shared" si="6"/>
        <v>0</v>
      </c>
      <c r="AA29" s="58">
        <f t="shared" si="6"/>
        <v>0</v>
      </c>
      <c r="AB29" s="58">
        <f t="shared" si="6"/>
        <v>0</v>
      </c>
    </row>
    <row r="30" spans="1:28">
      <c r="A30" s="52" t="s">
        <v>21</v>
      </c>
      <c r="B30" s="53">
        <v>21</v>
      </c>
      <c r="C30" s="54">
        <v>3.3</v>
      </c>
      <c r="D30" s="55"/>
      <c r="E30" s="56">
        <f>IF(E22=0,1,0)</f>
        <v>0</v>
      </c>
      <c r="F30" s="57">
        <v>1.2</v>
      </c>
      <c r="G30" s="58">
        <f t="shared" ref="G30:AB30" si="7">G22</f>
        <v>0</v>
      </c>
      <c r="H30" s="58">
        <f t="shared" si="7"/>
        <v>0</v>
      </c>
      <c r="I30" s="58">
        <f t="shared" si="7"/>
        <v>0</v>
      </c>
      <c r="J30" s="58">
        <f t="shared" si="7"/>
        <v>90</v>
      </c>
      <c r="K30" s="58">
        <f t="shared" si="7"/>
        <v>100</v>
      </c>
      <c r="L30" s="58">
        <f t="shared" si="7"/>
        <v>80</v>
      </c>
      <c r="M30" s="58">
        <f t="shared" si="7"/>
        <v>-10</v>
      </c>
      <c r="N30" s="58">
        <f t="shared" si="7"/>
        <v>-10</v>
      </c>
      <c r="O30" s="58">
        <f t="shared" si="7"/>
        <v>30</v>
      </c>
      <c r="P30" s="58">
        <f t="shared" si="7"/>
        <v>0</v>
      </c>
      <c r="Q30" s="58">
        <f t="shared" si="7"/>
        <v>0</v>
      </c>
      <c r="R30" s="58">
        <f t="shared" si="7"/>
        <v>0</v>
      </c>
      <c r="S30" s="58">
        <f t="shared" si="7"/>
        <v>0</v>
      </c>
      <c r="T30" s="58">
        <f t="shared" si="7"/>
        <v>0</v>
      </c>
      <c r="U30" s="58">
        <f t="shared" si="7"/>
        <v>0</v>
      </c>
      <c r="V30" s="58">
        <f t="shared" si="7"/>
        <v>0</v>
      </c>
      <c r="W30" s="58">
        <f t="shared" si="7"/>
        <v>0</v>
      </c>
      <c r="X30" s="58">
        <f t="shared" si="7"/>
        <v>0</v>
      </c>
      <c r="Y30" s="58">
        <f t="shared" si="7"/>
        <v>0</v>
      </c>
      <c r="Z30" s="58">
        <f t="shared" si="7"/>
        <v>0</v>
      </c>
      <c r="AA30" s="58">
        <f t="shared" si="7"/>
        <v>0</v>
      </c>
      <c r="AB30" s="58">
        <f t="shared" si="7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  <c r="J35" s="68">
        <f>J8</f>
        <v>10</v>
      </c>
      <c r="K35" s="68">
        <f t="shared" ref="K35:Z35" si="8">K8</f>
        <v>10</v>
      </c>
      <c r="L35" s="68">
        <f t="shared" si="8"/>
        <v>-10</v>
      </c>
      <c r="M35" s="68">
        <f t="shared" si="8"/>
        <v>-30</v>
      </c>
      <c r="N35" s="68">
        <f t="shared" si="8"/>
        <v>-30</v>
      </c>
      <c r="O35" s="68">
        <f t="shared" si="8"/>
        <v>10</v>
      </c>
      <c r="P35" s="68">
        <f t="shared" si="8"/>
        <v>5</v>
      </c>
      <c r="Q35" s="68">
        <f t="shared" si="8"/>
        <v>0</v>
      </c>
      <c r="R35" s="68">
        <f t="shared" si="8"/>
        <v>0</v>
      </c>
      <c r="S35" s="68">
        <f t="shared" si="8"/>
        <v>0</v>
      </c>
      <c r="T35" s="68">
        <f t="shared" si="8"/>
        <v>0</v>
      </c>
      <c r="U35" s="68">
        <f t="shared" si="8"/>
        <v>0</v>
      </c>
      <c r="V35" s="68">
        <f t="shared" si="8"/>
        <v>0</v>
      </c>
      <c r="W35" s="68">
        <f t="shared" si="8"/>
        <v>0</v>
      </c>
      <c r="X35" s="68">
        <f t="shared" si="8"/>
        <v>0</v>
      </c>
      <c r="Y35" s="68">
        <f t="shared" si="8"/>
        <v>0</v>
      </c>
      <c r="Z35" s="68">
        <f t="shared" si="8"/>
        <v>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  <c r="J36" s="68">
        <f>J9-5</f>
        <v>-50</v>
      </c>
      <c r="K36" s="68">
        <f t="shared" ref="K36:Z36" si="9">K9-5</f>
        <v>-50</v>
      </c>
      <c r="L36" s="68">
        <f t="shared" si="9"/>
        <v>-50</v>
      </c>
      <c r="M36" s="68">
        <f t="shared" si="9"/>
        <v>-50</v>
      </c>
      <c r="N36" s="68">
        <f t="shared" si="9"/>
        <v>-50</v>
      </c>
      <c r="O36" s="68">
        <f t="shared" si="9"/>
        <v>-50</v>
      </c>
      <c r="P36" s="68">
        <f t="shared" si="9"/>
        <v>-30</v>
      </c>
      <c r="Q36" s="68">
        <f t="shared" si="9"/>
        <v>-5</v>
      </c>
      <c r="R36" s="68">
        <f t="shared" si="9"/>
        <v>-5</v>
      </c>
      <c r="S36" s="68">
        <f t="shared" si="9"/>
        <v>-5</v>
      </c>
      <c r="T36" s="68">
        <f t="shared" si="9"/>
        <v>-5</v>
      </c>
      <c r="U36" s="68">
        <f t="shared" si="9"/>
        <v>-5</v>
      </c>
      <c r="V36" s="68">
        <f t="shared" si="9"/>
        <v>-5</v>
      </c>
      <c r="W36" s="68">
        <f t="shared" si="9"/>
        <v>-5</v>
      </c>
      <c r="X36" s="68">
        <f t="shared" si="9"/>
        <v>-5</v>
      </c>
      <c r="Y36" s="68">
        <f t="shared" si="9"/>
        <v>-5</v>
      </c>
      <c r="Z36" s="68">
        <f t="shared" si="9"/>
        <v>-5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  <c r="J37" s="68">
        <f>J10+5</f>
        <v>-35</v>
      </c>
      <c r="K37" s="68">
        <f t="shared" ref="K37:Z37" si="10">K10+5</f>
        <v>-35</v>
      </c>
      <c r="L37" s="68">
        <f t="shared" si="10"/>
        <v>-35</v>
      </c>
      <c r="M37" s="68">
        <f t="shared" si="10"/>
        <v>-35</v>
      </c>
      <c r="N37" s="68">
        <f t="shared" si="10"/>
        <v>-35</v>
      </c>
      <c r="O37" s="68">
        <f t="shared" si="10"/>
        <v>-35</v>
      </c>
      <c r="P37" s="68">
        <f t="shared" si="10"/>
        <v>-20</v>
      </c>
      <c r="Q37" s="68">
        <f t="shared" si="10"/>
        <v>5</v>
      </c>
      <c r="R37" s="68">
        <f t="shared" si="10"/>
        <v>5</v>
      </c>
      <c r="S37" s="68">
        <f t="shared" si="10"/>
        <v>5</v>
      </c>
      <c r="T37" s="68">
        <f t="shared" si="10"/>
        <v>5</v>
      </c>
      <c r="U37" s="68">
        <f t="shared" si="10"/>
        <v>5</v>
      </c>
      <c r="V37" s="68">
        <f t="shared" si="10"/>
        <v>5</v>
      </c>
      <c r="W37" s="68">
        <f t="shared" si="10"/>
        <v>5</v>
      </c>
      <c r="X37" s="68">
        <f t="shared" si="10"/>
        <v>5</v>
      </c>
      <c r="Y37" s="68">
        <f t="shared" si="10"/>
        <v>5</v>
      </c>
      <c r="Z37" s="68">
        <f t="shared" si="10"/>
        <v>5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  <c r="J38" s="68">
        <f t="shared" ref="J38:Z42" si="11">J11</f>
        <v>-10</v>
      </c>
      <c r="K38" s="68">
        <f t="shared" si="11"/>
        <v>-10</v>
      </c>
      <c r="L38" s="68">
        <f t="shared" si="11"/>
        <v>10</v>
      </c>
      <c r="M38" s="68">
        <f t="shared" si="11"/>
        <v>30</v>
      </c>
      <c r="N38" s="68">
        <f t="shared" si="11"/>
        <v>30</v>
      </c>
      <c r="O38" s="68">
        <f t="shared" si="11"/>
        <v>-10</v>
      </c>
      <c r="P38" s="68">
        <f t="shared" si="11"/>
        <v>-5</v>
      </c>
      <c r="Q38" s="68">
        <f t="shared" si="11"/>
        <v>0</v>
      </c>
      <c r="R38" s="68">
        <f t="shared" si="11"/>
        <v>0</v>
      </c>
      <c r="S38" s="68">
        <f t="shared" si="11"/>
        <v>0</v>
      </c>
      <c r="T38" s="68">
        <f t="shared" si="11"/>
        <v>0</v>
      </c>
      <c r="U38" s="68">
        <f t="shared" si="11"/>
        <v>0</v>
      </c>
      <c r="V38" s="68">
        <f t="shared" si="11"/>
        <v>0</v>
      </c>
      <c r="W38" s="68">
        <f t="shared" si="11"/>
        <v>0</v>
      </c>
      <c r="X38" s="68">
        <f t="shared" si="11"/>
        <v>0</v>
      </c>
      <c r="Y38" s="68">
        <f t="shared" si="11"/>
        <v>0</v>
      </c>
      <c r="Z38" s="68">
        <f t="shared" si="11"/>
        <v>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  <c r="J39" s="68">
        <f t="shared" si="11"/>
        <v>10</v>
      </c>
      <c r="K39" s="68">
        <f t="shared" si="11"/>
        <v>10</v>
      </c>
      <c r="L39" s="68">
        <f t="shared" si="11"/>
        <v>-10</v>
      </c>
      <c r="M39" s="68">
        <f t="shared" si="11"/>
        <v>-30</v>
      </c>
      <c r="N39" s="68">
        <f t="shared" si="11"/>
        <v>-30</v>
      </c>
      <c r="O39" s="68">
        <f t="shared" si="11"/>
        <v>10</v>
      </c>
      <c r="P39" s="68">
        <f t="shared" si="11"/>
        <v>5</v>
      </c>
      <c r="Q39" s="68">
        <f t="shared" si="11"/>
        <v>0</v>
      </c>
      <c r="R39" s="68">
        <f t="shared" si="11"/>
        <v>0</v>
      </c>
      <c r="S39" s="68">
        <f t="shared" si="11"/>
        <v>0</v>
      </c>
      <c r="T39" s="68">
        <f t="shared" si="11"/>
        <v>0</v>
      </c>
      <c r="U39" s="68">
        <f t="shared" si="11"/>
        <v>0</v>
      </c>
      <c r="V39" s="68">
        <f t="shared" si="11"/>
        <v>0</v>
      </c>
      <c r="W39" s="68">
        <f t="shared" si="11"/>
        <v>0</v>
      </c>
      <c r="X39" s="68">
        <f t="shared" si="11"/>
        <v>0</v>
      </c>
      <c r="Y39" s="68">
        <f t="shared" si="11"/>
        <v>0</v>
      </c>
      <c r="Z39" s="68">
        <f t="shared" si="11"/>
        <v>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  <c r="J40" s="68">
        <f>J13-5</f>
        <v>-50</v>
      </c>
      <c r="K40" s="68">
        <f t="shared" ref="K40:Z40" si="12">K13-5</f>
        <v>-50</v>
      </c>
      <c r="L40" s="68">
        <f t="shared" si="12"/>
        <v>-50</v>
      </c>
      <c r="M40" s="68">
        <f t="shared" si="12"/>
        <v>-50</v>
      </c>
      <c r="N40" s="68">
        <f t="shared" si="12"/>
        <v>-50</v>
      </c>
      <c r="O40" s="68">
        <f t="shared" si="12"/>
        <v>-50</v>
      </c>
      <c r="P40" s="68">
        <f t="shared" si="12"/>
        <v>-30</v>
      </c>
      <c r="Q40" s="68">
        <f t="shared" si="12"/>
        <v>-5</v>
      </c>
      <c r="R40" s="68">
        <f t="shared" si="12"/>
        <v>-5</v>
      </c>
      <c r="S40" s="68">
        <f t="shared" si="12"/>
        <v>-5</v>
      </c>
      <c r="T40" s="68">
        <f t="shared" si="12"/>
        <v>-5</v>
      </c>
      <c r="U40" s="68">
        <f t="shared" si="12"/>
        <v>-5</v>
      </c>
      <c r="V40" s="68">
        <f t="shared" si="12"/>
        <v>-5</v>
      </c>
      <c r="W40" s="68">
        <f t="shared" si="12"/>
        <v>-5</v>
      </c>
      <c r="X40" s="68">
        <f t="shared" si="12"/>
        <v>-5</v>
      </c>
      <c r="Y40" s="68">
        <f t="shared" si="12"/>
        <v>-5</v>
      </c>
      <c r="Z40" s="68">
        <f t="shared" si="12"/>
        <v>-5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  <c r="J41" s="68">
        <f>J14+5</f>
        <v>-35</v>
      </c>
      <c r="K41" s="68">
        <f t="shared" ref="K41:Z41" si="13">K14+5</f>
        <v>-35</v>
      </c>
      <c r="L41" s="68">
        <f t="shared" si="13"/>
        <v>-35</v>
      </c>
      <c r="M41" s="68">
        <f t="shared" si="13"/>
        <v>-35</v>
      </c>
      <c r="N41" s="68">
        <f t="shared" si="13"/>
        <v>-35</v>
      </c>
      <c r="O41" s="68">
        <f t="shared" si="13"/>
        <v>-35</v>
      </c>
      <c r="P41" s="68">
        <f t="shared" si="13"/>
        <v>-20</v>
      </c>
      <c r="Q41" s="68">
        <f t="shared" si="13"/>
        <v>5</v>
      </c>
      <c r="R41" s="68">
        <f t="shared" si="13"/>
        <v>5</v>
      </c>
      <c r="S41" s="68">
        <f t="shared" si="13"/>
        <v>5</v>
      </c>
      <c r="T41" s="68">
        <f t="shared" si="13"/>
        <v>5</v>
      </c>
      <c r="U41" s="68">
        <f t="shared" si="13"/>
        <v>5</v>
      </c>
      <c r="V41" s="68">
        <f t="shared" si="13"/>
        <v>5</v>
      </c>
      <c r="W41" s="68">
        <f t="shared" si="13"/>
        <v>5</v>
      </c>
      <c r="X41" s="68">
        <f t="shared" si="13"/>
        <v>5</v>
      </c>
      <c r="Y41" s="68">
        <f t="shared" si="13"/>
        <v>5</v>
      </c>
      <c r="Z41" s="68">
        <f t="shared" si="13"/>
        <v>5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  <c r="J42" s="68">
        <f t="shared" si="11"/>
        <v>-10</v>
      </c>
      <c r="K42" s="68">
        <f t="shared" si="11"/>
        <v>-10</v>
      </c>
      <c r="L42" s="68">
        <f t="shared" si="11"/>
        <v>10</v>
      </c>
      <c r="M42" s="68">
        <f t="shared" si="11"/>
        <v>30</v>
      </c>
      <c r="N42" s="68">
        <f t="shared" si="11"/>
        <v>30</v>
      </c>
      <c r="O42" s="68">
        <f t="shared" si="11"/>
        <v>-10</v>
      </c>
      <c r="P42" s="68">
        <f t="shared" si="11"/>
        <v>-5</v>
      </c>
      <c r="Q42" s="68">
        <f t="shared" si="11"/>
        <v>0</v>
      </c>
      <c r="R42" s="68">
        <f t="shared" si="11"/>
        <v>0</v>
      </c>
      <c r="S42" s="68">
        <f t="shared" si="11"/>
        <v>0</v>
      </c>
      <c r="T42" s="68">
        <f t="shared" si="11"/>
        <v>0</v>
      </c>
      <c r="U42" s="68">
        <f t="shared" si="11"/>
        <v>0</v>
      </c>
      <c r="V42" s="68">
        <f t="shared" si="11"/>
        <v>0</v>
      </c>
      <c r="W42" s="68">
        <f t="shared" si="11"/>
        <v>0</v>
      </c>
      <c r="X42" s="68">
        <f t="shared" si="11"/>
        <v>0</v>
      </c>
      <c r="Y42" s="68">
        <f t="shared" si="11"/>
        <v>0</v>
      </c>
      <c r="Z42" s="68">
        <f t="shared" si="11"/>
        <v>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113</v>
      </c>
      <c r="L4" s="62">
        <f t="shared" si="0"/>
        <v>123</v>
      </c>
      <c r="M4" s="62">
        <f t="shared" si="0"/>
        <v>126</v>
      </c>
      <c r="N4" s="62">
        <f t="shared" si="0"/>
        <v>132</v>
      </c>
      <c r="O4" s="62">
        <f t="shared" si="0"/>
        <v>142</v>
      </c>
      <c r="P4" s="62">
        <f t="shared" si="0"/>
        <v>145</v>
      </c>
      <c r="Q4" s="62">
        <f t="shared" si="0"/>
        <v>151</v>
      </c>
      <c r="R4" s="62">
        <f t="shared" si="0"/>
        <v>156</v>
      </c>
      <c r="S4" s="62">
        <f t="shared" si="0"/>
        <v>161</v>
      </c>
      <c r="T4" s="62">
        <f t="shared" si="0"/>
        <v>171</v>
      </c>
      <c r="U4" s="62">
        <f t="shared" si="0"/>
        <v>183</v>
      </c>
      <c r="V4" s="62">
        <f t="shared" si="0"/>
        <v>196</v>
      </c>
      <c r="W4" s="62">
        <f t="shared" si="0"/>
        <v>210</v>
      </c>
      <c r="X4" s="62">
        <f t="shared" si="0"/>
        <v>235</v>
      </c>
      <c r="Y4" s="62">
        <f t="shared" si="0"/>
        <v>335</v>
      </c>
      <c r="Z4" s="62">
        <f t="shared" si="0"/>
        <v>435</v>
      </c>
      <c r="AA4" s="62">
        <f t="shared" si="0"/>
        <v>535</v>
      </c>
      <c r="AB4" s="62">
        <f t="shared" si="0"/>
        <v>635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5</v>
      </c>
      <c r="K5" s="63">
        <v>2</v>
      </c>
      <c r="L5" s="63">
        <v>3</v>
      </c>
      <c r="M5" s="63">
        <v>6</v>
      </c>
      <c r="N5" s="63">
        <f>K5</f>
        <v>2</v>
      </c>
      <c r="O5" s="63">
        <f t="shared" ref="O5:P6" si="1">L5</f>
        <v>3</v>
      </c>
      <c r="P5" s="63">
        <f t="shared" si="1"/>
        <v>6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6</v>
      </c>
      <c r="K6" s="63">
        <v>8</v>
      </c>
      <c r="L6" s="63">
        <v>0</v>
      </c>
      <c r="M6" s="63">
        <v>0</v>
      </c>
      <c r="N6" s="63">
        <f>K6</f>
        <v>8</v>
      </c>
      <c r="O6" s="63">
        <f t="shared" si="1"/>
        <v>0</v>
      </c>
      <c r="P6" s="63">
        <f t="shared" si="1"/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</v>
      </c>
      <c r="K8" s="38">
        <v>15</v>
      </c>
      <c r="L8" s="38">
        <v>0</v>
      </c>
      <c r="M8" s="38">
        <v>5</v>
      </c>
      <c r="N8" s="38">
        <v>-10</v>
      </c>
      <c r="O8" s="38">
        <v>5</v>
      </c>
      <c r="P8" s="38">
        <v>10</v>
      </c>
      <c r="Q8" s="38">
        <v>15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15</v>
      </c>
      <c r="K9" s="38">
        <v>20</v>
      </c>
      <c r="L9" s="38">
        <v>15</v>
      </c>
      <c r="M9" s="38">
        <v>35</v>
      </c>
      <c r="N9" s="38">
        <v>-40</v>
      </c>
      <c r="O9" s="38">
        <v>-15</v>
      </c>
      <c r="P9" s="38">
        <v>10</v>
      </c>
      <c r="Q9" s="38">
        <v>20</v>
      </c>
      <c r="R9" s="38">
        <v>-10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-15</v>
      </c>
      <c r="K10" s="38">
        <v>-5</v>
      </c>
      <c r="L10" s="38">
        <v>-10</v>
      </c>
      <c r="M10" s="38">
        <v>-5</v>
      </c>
      <c r="N10" s="38">
        <v>-13</v>
      </c>
      <c r="O10" s="38">
        <v>20</v>
      </c>
      <c r="P10" s="38">
        <v>0</v>
      </c>
      <c r="Q10" s="38">
        <v>5</v>
      </c>
      <c r="R10" s="38">
        <v>15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-3</v>
      </c>
      <c r="M11" s="38">
        <v>-3</v>
      </c>
      <c r="N11" s="38">
        <v>5</v>
      </c>
      <c r="O11" s="38">
        <v>-5</v>
      </c>
      <c r="P11" s="38">
        <v>-5</v>
      </c>
      <c r="Q11" s="38">
        <v>-5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-5</v>
      </c>
      <c r="K12" s="44">
        <v>-10</v>
      </c>
      <c r="L12" s="44">
        <v>5</v>
      </c>
      <c r="M12" s="44">
        <v>10</v>
      </c>
      <c r="N12" s="44">
        <v>15</v>
      </c>
      <c r="O12" s="44">
        <v>5</v>
      </c>
      <c r="P12" s="44">
        <v>5</v>
      </c>
      <c r="Q12" s="44">
        <v>-10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2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25</v>
      </c>
      <c r="K13" s="44">
        <v>-40</v>
      </c>
      <c r="L13" s="44">
        <v>-15</v>
      </c>
      <c r="M13" s="44">
        <v>10</v>
      </c>
      <c r="N13" s="44">
        <v>20</v>
      </c>
      <c r="O13" s="44">
        <v>15</v>
      </c>
      <c r="P13" s="44">
        <v>35</v>
      </c>
      <c r="Q13" s="44">
        <v>-40</v>
      </c>
      <c r="R13" s="44">
        <v>-10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2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-5</v>
      </c>
      <c r="K14" s="44">
        <v>-13</v>
      </c>
      <c r="L14" s="44">
        <v>20</v>
      </c>
      <c r="M14" s="44">
        <v>0</v>
      </c>
      <c r="N14" s="44">
        <v>-5</v>
      </c>
      <c r="O14" s="44">
        <v>-10</v>
      </c>
      <c r="P14" s="44">
        <v>-5</v>
      </c>
      <c r="Q14" s="44">
        <v>-13</v>
      </c>
      <c r="R14" s="44">
        <v>15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2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5</v>
      </c>
      <c r="K15" s="44">
        <v>5</v>
      </c>
      <c r="L15" s="44">
        <v>-5</v>
      </c>
      <c r="M15" s="44">
        <v>-5</v>
      </c>
      <c r="N15" s="44">
        <v>-5</v>
      </c>
      <c r="O15" s="44">
        <v>-3</v>
      </c>
      <c r="P15" s="44">
        <v>-3</v>
      </c>
      <c r="Q15" s="44">
        <v>5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-10</v>
      </c>
      <c r="K16" s="51">
        <v>-5</v>
      </c>
      <c r="L16" s="51">
        <v>5</v>
      </c>
      <c r="M16" s="51">
        <v>10</v>
      </c>
      <c r="N16" s="51">
        <v>5</v>
      </c>
      <c r="O16" s="51">
        <v>-5</v>
      </c>
      <c r="P16" s="51">
        <v>-10</v>
      </c>
      <c r="Q16" s="51">
        <v>-5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3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3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3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6" si="4">H9</f>
        <v>0</v>
      </c>
      <c r="I25" s="58">
        <f t="shared" si="4"/>
        <v>0</v>
      </c>
      <c r="J25" s="58">
        <f t="shared" si="4"/>
        <v>15</v>
      </c>
      <c r="K25" s="58">
        <f t="shared" si="4"/>
        <v>20</v>
      </c>
      <c r="L25" s="58">
        <f t="shared" si="4"/>
        <v>15</v>
      </c>
      <c r="M25" s="58">
        <f t="shared" si="4"/>
        <v>35</v>
      </c>
      <c r="N25" s="58">
        <f t="shared" si="4"/>
        <v>-40</v>
      </c>
      <c r="O25" s="58">
        <f t="shared" si="4"/>
        <v>-15</v>
      </c>
      <c r="P25" s="58">
        <f t="shared" si="4"/>
        <v>10</v>
      </c>
      <c r="Q25" s="58">
        <f t="shared" si="4"/>
        <v>20</v>
      </c>
      <c r="R25" s="58">
        <f t="shared" si="4"/>
        <v>-10</v>
      </c>
      <c r="S25" s="58">
        <f t="shared" si="4"/>
        <v>0</v>
      </c>
      <c r="T25" s="58">
        <f t="shared" si="4"/>
        <v>0</v>
      </c>
      <c r="U25" s="58">
        <f t="shared" si="4"/>
        <v>0</v>
      </c>
      <c r="V25" s="58">
        <f t="shared" si="4"/>
        <v>0</v>
      </c>
      <c r="W25" s="58">
        <f t="shared" si="4"/>
        <v>0</v>
      </c>
      <c r="X25" s="58">
        <f t="shared" si="4"/>
        <v>0</v>
      </c>
      <c r="Y25" s="58">
        <f t="shared" si="4"/>
        <v>0</v>
      </c>
      <c r="Z25" s="58">
        <f t="shared" si="4"/>
        <v>0</v>
      </c>
      <c r="AA25" s="58">
        <f t="shared" si="4"/>
        <v>0</v>
      </c>
      <c r="AB25" s="58">
        <f t="shared" si="4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5">G10</f>
        <v>0</v>
      </c>
      <c r="H26" s="58">
        <f t="shared" si="4"/>
        <v>0</v>
      </c>
      <c r="I26" s="58">
        <f t="shared" si="4"/>
        <v>0</v>
      </c>
      <c r="J26" s="58">
        <f t="shared" si="4"/>
        <v>-15</v>
      </c>
      <c r="K26" s="58">
        <f t="shared" si="4"/>
        <v>-5</v>
      </c>
      <c r="L26" s="58">
        <f t="shared" si="4"/>
        <v>-10</v>
      </c>
      <c r="M26" s="58">
        <f t="shared" si="4"/>
        <v>-5</v>
      </c>
      <c r="N26" s="58">
        <f t="shared" si="4"/>
        <v>-13</v>
      </c>
      <c r="O26" s="58">
        <f t="shared" si="4"/>
        <v>20</v>
      </c>
      <c r="P26" s="58">
        <f t="shared" si="4"/>
        <v>0</v>
      </c>
      <c r="Q26" s="58">
        <f t="shared" si="4"/>
        <v>5</v>
      </c>
      <c r="R26" s="58">
        <f t="shared" si="4"/>
        <v>15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AB28" si="6">G13</f>
        <v>0</v>
      </c>
      <c r="H27" s="58">
        <f t="shared" si="6"/>
        <v>0</v>
      </c>
      <c r="I27" s="58">
        <f t="shared" si="6"/>
        <v>0</v>
      </c>
      <c r="J27" s="58">
        <f t="shared" si="6"/>
        <v>25</v>
      </c>
      <c r="K27" s="58">
        <f t="shared" si="6"/>
        <v>-40</v>
      </c>
      <c r="L27" s="58">
        <f t="shared" si="6"/>
        <v>-15</v>
      </c>
      <c r="M27" s="58">
        <f t="shared" si="6"/>
        <v>10</v>
      </c>
      <c r="N27" s="58">
        <f t="shared" si="6"/>
        <v>20</v>
      </c>
      <c r="O27" s="58">
        <f t="shared" si="6"/>
        <v>15</v>
      </c>
      <c r="P27" s="58">
        <f t="shared" si="6"/>
        <v>35</v>
      </c>
      <c r="Q27" s="58">
        <f t="shared" si="6"/>
        <v>-40</v>
      </c>
      <c r="R27" s="58">
        <f t="shared" si="6"/>
        <v>-10</v>
      </c>
      <c r="S27" s="58">
        <f t="shared" si="6"/>
        <v>0</v>
      </c>
      <c r="T27" s="58">
        <f t="shared" si="6"/>
        <v>0</v>
      </c>
      <c r="U27" s="58">
        <f t="shared" si="6"/>
        <v>0</v>
      </c>
      <c r="V27" s="58">
        <f t="shared" si="6"/>
        <v>0</v>
      </c>
      <c r="W27" s="58">
        <f t="shared" si="6"/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si="6"/>
        <v>0</v>
      </c>
      <c r="I28" s="58">
        <f t="shared" si="6"/>
        <v>0</v>
      </c>
      <c r="J28" s="58">
        <f t="shared" si="6"/>
        <v>-5</v>
      </c>
      <c r="K28" s="58">
        <f t="shared" si="6"/>
        <v>-13</v>
      </c>
      <c r="L28" s="58">
        <f t="shared" si="6"/>
        <v>20</v>
      </c>
      <c r="M28" s="58">
        <f t="shared" si="6"/>
        <v>0</v>
      </c>
      <c r="N28" s="58">
        <f t="shared" si="6"/>
        <v>-5</v>
      </c>
      <c r="O28" s="58">
        <f t="shared" si="6"/>
        <v>-10</v>
      </c>
      <c r="P28" s="58">
        <f t="shared" si="6"/>
        <v>-5</v>
      </c>
      <c r="Q28" s="58">
        <f t="shared" si="6"/>
        <v>-13</v>
      </c>
      <c r="R28" s="58">
        <f t="shared" si="6"/>
        <v>15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39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9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27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1" t="s">
        <v>62</v>
      </c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0</v>
      </c>
      <c r="K8" s="38">
        <v>-20</v>
      </c>
      <c r="L8" s="38">
        <v>-25</v>
      </c>
      <c r="M8" s="38">
        <v>2</v>
      </c>
      <c r="N8" s="38">
        <v>10</v>
      </c>
      <c r="O8" s="38">
        <v>-4</v>
      </c>
      <c r="P8" s="38">
        <v>-12</v>
      </c>
      <c r="Q8" s="38">
        <v>-1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35</v>
      </c>
      <c r="K9" s="38">
        <v>36.5</v>
      </c>
      <c r="L9" s="38">
        <v>-3.5</v>
      </c>
      <c r="M9" s="38">
        <v>-0.5</v>
      </c>
      <c r="N9" s="38">
        <v>10</v>
      </c>
      <c r="O9" s="38">
        <v>3.5</v>
      </c>
      <c r="P9" s="38">
        <v>36.5</v>
      </c>
      <c r="Q9" s="38">
        <v>10.5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35</v>
      </c>
      <c r="K10" s="38">
        <v>49.100000000000009</v>
      </c>
      <c r="L10" s="38">
        <v>-20.899999999999991</v>
      </c>
      <c r="M10" s="38">
        <v>-17.899999999999991</v>
      </c>
      <c r="N10" s="38">
        <v>-20</v>
      </c>
      <c r="O10" s="38">
        <v>-3.8999999999999915</v>
      </c>
      <c r="P10" s="38">
        <v>19.100000000000001</v>
      </c>
      <c r="Q10" s="38">
        <v>-10.899999999999999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10</v>
      </c>
      <c r="K11" s="38">
        <v>12.300000000000011</v>
      </c>
      <c r="L11" s="38">
        <v>2.3000000000000114</v>
      </c>
      <c r="M11" s="38">
        <v>-5.6999999999999886</v>
      </c>
      <c r="N11" s="38">
        <v>-5.6999999999999886</v>
      </c>
      <c r="O11" s="38">
        <v>0.30000000000001137</v>
      </c>
      <c r="P11" s="38">
        <v>10</v>
      </c>
      <c r="Q11" s="38">
        <v>-2.6999999999999886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15.599999999999994</v>
      </c>
      <c r="K12" s="44">
        <v>15.599999999999994</v>
      </c>
      <c r="L12" s="44">
        <v>10.599999999999994</v>
      </c>
      <c r="M12" s="44">
        <v>10.599999999999994</v>
      </c>
      <c r="N12" s="44">
        <v>-9.4000000000000057</v>
      </c>
      <c r="O12" s="44">
        <v>-9.4000000000000057</v>
      </c>
      <c r="P12" s="44">
        <v>-9.4000000000000057</v>
      </c>
      <c r="Q12" s="44">
        <v>-3.4000000000000057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-0.30000000000000426</v>
      </c>
      <c r="K13" s="44">
        <v>-0.30000000000000426</v>
      </c>
      <c r="L13" s="44">
        <v>0.69999999999999574</v>
      </c>
      <c r="M13" s="44">
        <v>0.69999999999999574</v>
      </c>
      <c r="N13" s="44">
        <v>4.7</v>
      </c>
      <c r="O13" s="44">
        <v>-25.299999999999997</v>
      </c>
      <c r="P13" s="44">
        <v>14.7</v>
      </c>
      <c r="Q13" s="44">
        <v>8.6999999999999993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-4.5999999999999943</v>
      </c>
      <c r="K14" s="44">
        <v>-4.5999999999999943</v>
      </c>
      <c r="L14" s="44">
        <v>-3.5999999999999943</v>
      </c>
      <c r="M14" s="44">
        <v>-3.5999999999999943</v>
      </c>
      <c r="N14" s="44">
        <v>-11.6</v>
      </c>
      <c r="O14" s="44">
        <v>-29.599999999999994</v>
      </c>
      <c r="P14" s="44">
        <v>5.3999999999999986</v>
      </c>
      <c r="Q14" s="44">
        <v>-5.6000000000000014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-0.40000000000000568</v>
      </c>
      <c r="K15" s="44">
        <v>-0.40000000000000568</v>
      </c>
      <c r="L15" s="44">
        <v>-20.400000000000006</v>
      </c>
      <c r="M15" s="44">
        <v>-5.4000000000000057</v>
      </c>
      <c r="N15" s="44">
        <v>-13.400000000000006</v>
      </c>
      <c r="O15" s="44">
        <v>4.5999999999999943</v>
      </c>
      <c r="P15" s="44">
        <v>4.5999999999999943</v>
      </c>
      <c r="Q15" s="44">
        <v>-0.40000000000000568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35</v>
      </c>
      <c r="K25" s="58">
        <f t="shared" si="3"/>
        <v>36.5</v>
      </c>
      <c r="L25" s="58">
        <f t="shared" si="3"/>
        <v>-3.5</v>
      </c>
      <c r="M25" s="58">
        <f t="shared" si="3"/>
        <v>-0.5</v>
      </c>
      <c r="N25" s="58">
        <f t="shared" si="3"/>
        <v>10</v>
      </c>
      <c r="O25" s="58">
        <f t="shared" si="3"/>
        <v>3.5</v>
      </c>
      <c r="P25" s="58">
        <f t="shared" si="3"/>
        <v>36.5</v>
      </c>
      <c r="Q25" s="58">
        <f t="shared" si="3"/>
        <v>10.5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35</v>
      </c>
      <c r="K26" s="58">
        <f t="shared" si="5"/>
        <v>49.100000000000009</v>
      </c>
      <c r="L26" s="58">
        <f t="shared" si="5"/>
        <v>-20.899999999999991</v>
      </c>
      <c r="M26" s="58">
        <f t="shared" si="5"/>
        <v>-17.899999999999991</v>
      </c>
      <c r="N26" s="58">
        <f t="shared" si="5"/>
        <v>-20</v>
      </c>
      <c r="O26" s="58">
        <f t="shared" si="5"/>
        <v>-3.8999999999999915</v>
      </c>
      <c r="P26" s="58">
        <f t="shared" si="5"/>
        <v>19.100000000000001</v>
      </c>
      <c r="Q26" s="58">
        <f t="shared" si="5"/>
        <v>-10.899999999999999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-0.30000000000000426</v>
      </c>
      <c r="K27" s="58">
        <f t="shared" si="7"/>
        <v>-0.30000000000000426</v>
      </c>
      <c r="L27" s="58">
        <f t="shared" si="7"/>
        <v>0.69999999999999574</v>
      </c>
      <c r="M27" s="58">
        <f t="shared" si="7"/>
        <v>0.69999999999999574</v>
      </c>
      <c r="N27" s="58">
        <f t="shared" si="7"/>
        <v>4.7</v>
      </c>
      <c r="O27" s="58">
        <f t="shared" si="7"/>
        <v>-25.299999999999997</v>
      </c>
      <c r="P27" s="58">
        <f t="shared" si="7"/>
        <v>14.7</v>
      </c>
      <c r="Q27" s="58">
        <f t="shared" si="7"/>
        <v>8.6999999999999993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-4.5999999999999943</v>
      </c>
      <c r="K28" s="58">
        <f t="shared" si="8"/>
        <v>-4.5999999999999943</v>
      </c>
      <c r="L28" s="58">
        <f t="shared" si="8"/>
        <v>-3.5999999999999943</v>
      </c>
      <c r="M28" s="58">
        <f t="shared" si="8"/>
        <v>-3.5999999999999943</v>
      </c>
      <c r="N28" s="58">
        <f t="shared" si="8"/>
        <v>-11.6</v>
      </c>
      <c r="O28" s="58">
        <f t="shared" si="8"/>
        <v>-29.599999999999994</v>
      </c>
      <c r="P28" s="58">
        <f t="shared" si="8"/>
        <v>5.3999999999999986</v>
      </c>
      <c r="Q28" s="58">
        <f t="shared" si="8"/>
        <v>-5.6000000000000014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/>
      <c r="O1" s="17"/>
      <c r="P1" s="17">
        <v>3</v>
      </c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38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28</v>
      </c>
      <c r="W3" s="61" t="s">
        <v>45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106</v>
      </c>
      <c r="L4" s="62">
        <f t="shared" si="0"/>
        <v>110</v>
      </c>
      <c r="M4" s="62">
        <f t="shared" si="0"/>
        <v>114</v>
      </c>
      <c r="N4" s="62">
        <f t="shared" si="0"/>
        <v>118</v>
      </c>
      <c r="O4" s="62">
        <f t="shared" si="0"/>
        <v>122</v>
      </c>
      <c r="P4" s="62">
        <f t="shared" si="0"/>
        <v>126</v>
      </c>
      <c r="Q4" s="62">
        <f t="shared" si="0"/>
        <v>134</v>
      </c>
      <c r="R4" s="62">
        <f t="shared" si="0"/>
        <v>138</v>
      </c>
      <c r="S4" s="62">
        <f t="shared" si="0"/>
        <v>142</v>
      </c>
      <c r="T4" s="62">
        <f t="shared" si="0"/>
        <v>146</v>
      </c>
      <c r="U4" s="62">
        <f t="shared" si="0"/>
        <v>158</v>
      </c>
      <c r="V4" s="62">
        <f t="shared" si="0"/>
        <v>171</v>
      </c>
      <c r="W4" s="62">
        <f t="shared" si="0"/>
        <v>185</v>
      </c>
      <c r="X4" s="62">
        <f t="shared" si="0"/>
        <v>210</v>
      </c>
      <c r="Y4" s="62">
        <f t="shared" si="0"/>
        <v>310</v>
      </c>
      <c r="Z4" s="62">
        <f t="shared" si="0"/>
        <v>410</v>
      </c>
      <c r="AA4" s="62">
        <f t="shared" si="0"/>
        <v>510</v>
      </c>
      <c r="AB4" s="62">
        <f t="shared" si="0"/>
        <v>610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3</v>
      </c>
      <c r="L5" s="63">
        <v>3</v>
      </c>
      <c r="M5" s="63">
        <v>3</v>
      </c>
      <c r="N5" s="63">
        <v>3</v>
      </c>
      <c r="O5" s="63">
        <v>2</v>
      </c>
      <c r="P5" s="63">
        <v>4</v>
      </c>
      <c r="Q5" s="63">
        <v>2</v>
      </c>
      <c r="R5" s="63">
        <v>2</v>
      </c>
      <c r="S5" s="63">
        <v>4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2</v>
      </c>
      <c r="K6" s="63">
        <v>1</v>
      </c>
      <c r="L6" s="63">
        <v>1</v>
      </c>
      <c r="M6" s="63">
        <v>1</v>
      </c>
      <c r="N6" s="63">
        <v>1</v>
      </c>
      <c r="O6" s="63">
        <v>2</v>
      </c>
      <c r="P6" s="63">
        <v>4</v>
      </c>
      <c r="Q6" s="63">
        <v>2</v>
      </c>
      <c r="R6" s="63">
        <v>2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0</v>
      </c>
      <c r="Q7" s="33">
        <v>0</v>
      </c>
      <c r="R7" s="33">
        <v>2</v>
      </c>
      <c r="S7" s="33">
        <v>0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15.599999999999994</v>
      </c>
      <c r="K8" s="38">
        <v>15.599999999999994</v>
      </c>
      <c r="L8" s="38">
        <v>10.599999999999994</v>
      </c>
      <c r="M8" s="38">
        <v>10.599999999999994</v>
      </c>
      <c r="N8" s="38">
        <v>-9.4000000000000057</v>
      </c>
      <c r="O8" s="38">
        <v>-9.4000000000000057</v>
      </c>
      <c r="P8" s="38">
        <v>-9.4000000000000057</v>
      </c>
      <c r="Q8" s="38">
        <v>-3.4000000000000057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-0.30000000000000426</v>
      </c>
      <c r="K9" s="38">
        <v>-0.30000000000000426</v>
      </c>
      <c r="L9" s="38">
        <v>0.69999999999999574</v>
      </c>
      <c r="M9" s="38">
        <v>0.69999999999999574</v>
      </c>
      <c r="N9" s="38">
        <v>4.7</v>
      </c>
      <c r="O9" s="38">
        <v>-25.299999999999997</v>
      </c>
      <c r="P9" s="38">
        <v>14.7</v>
      </c>
      <c r="Q9" s="38">
        <v>8.6999999999999993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-4.5999999999999943</v>
      </c>
      <c r="K10" s="38">
        <v>-4.5999999999999943</v>
      </c>
      <c r="L10" s="38">
        <v>-3.5999999999999943</v>
      </c>
      <c r="M10" s="38">
        <v>-3.5999999999999943</v>
      </c>
      <c r="N10" s="38">
        <v>-11.6</v>
      </c>
      <c r="O10" s="38">
        <v>-29.599999999999994</v>
      </c>
      <c r="P10" s="38">
        <v>5.3999999999999986</v>
      </c>
      <c r="Q10" s="38">
        <v>-5.6000000000000014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-0.40000000000000568</v>
      </c>
      <c r="K11" s="38">
        <v>-0.40000000000000568</v>
      </c>
      <c r="L11" s="38">
        <v>-20.400000000000006</v>
      </c>
      <c r="M11" s="38">
        <v>-5.4000000000000057</v>
      </c>
      <c r="N11" s="38">
        <v>-13.400000000000006</v>
      </c>
      <c r="O11" s="38">
        <v>4.5999999999999943</v>
      </c>
      <c r="P11" s="38">
        <v>4.5999999999999943</v>
      </c>
      <c r="Q11" s="38">
        <v>-0.40000000000000568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0</v>
      </c>
      <c r="K12" s="44">
        <v>-20</v>
      </c>
      <c r="L12" s="44">
        <v>-25</v>
      </c>
      <c r="M12" s="44">
        <v>2</v>
      </c>
      <c r="N12" s="44">
        <v>10</v>
      </c>
      <c r="O12" s="44">
        <v>-4</v>
      </c>
      <c r="P12" s="44">
        <v>-12</v>
      </c>
      <c r="Q12" s="44">
        <v>-1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35</v>
      </c>
      <c r="K13" s="44">
        <v>36.5</v>
      </c>
      <c r="L13" s="44">
        <v>-3.5</v>
      </c>
      <c r="M13" s="44">
        <v>-0.5</v>
      </c>
      <c r="N13" s="44">
        <v>10</v>
      </c>
      <c r="O13" s="44">
        <v>3.5</v>
      </c>
      <c r="P13" s="44">
        <v>36.5</v>
      </c>
      <c r="Q13" s="44">
        <v>10.5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35</v>
      </c>
      <c r="K14" s="44">
        <v>49.100000000000009</v>
      </c>
      <c r="L14" s="44">
        <v>-20.899999999999991</v>
      </c>
      <c r="M14" s="44">
        <v>-17.899999999999991</v>
      </c>
      <c r="N14" s="44">
        <v>-20</v>
      </c>
      <c r="O14" s="44">
        <v>-3.8999999999999915</v>
      </c>
      <c r="P14" s="44">
        <v>19.100000000000001</v>
      </c>
      <c r="Q14" s="44">
        <v>-10.899999999999999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10</v>
      </c>
      <c r="K15" s="44">
        <v>12.300000000000011</v>
      </c>
      <c r="L15" s="44">
        <v>2.3000000000000114</v>
      </c>
      <c r="M15" s="44">
        <v>-5.6999999999999886</v>
      </c>
      <c r="N15" s="44">
        <v>-5.6999999999999886</v>
      </c>
      <c r="O15" s="44">
        <v>0.30000000000001137</v>
      </c>
      <c r="P15" s="44">
        <v>10</v>
      </c>
      <c r="Q15" s="44">
        <v>-2.6999999999999886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0</v>
      </c>
      <c r="K16" s="51">
        <v>0</v>
      </c>
      <c r="L16" s="51">
        <v>0</v>
      </c>
      <c r="M16" s="51">
        <v>0</v>
      </c>
      <c r="N16" s="51">
        <v>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-0.30000000000000426</v>
      </c>
      <c r="K25" s="58">
        <f t="shared" si="3"/>
        <v>-0.30000000000000426</v>
      </c>
      <c r="L25" s="58">
        <f t="shared" si="3"/>
        <v>0.69999999999999574</v>
      </c>
      <c r="M25" s="58">
        <f t="shared" si="3"/>
        <v>0.69999999999999574</v>
      </c>
      <c r="N25" s="58">
        <f t="shared" si="3"/>
        <v>4.7</v>
      </c>
      <c r="O25" s="58">
        <f t="shared" si="3"/>
        <v>-25.299999999999997</v>
      </c>
      <c r="P25" s="58">
        <f t="shared" si="3"/>
        <v>14.7</v>
      </c>
      <c r="Q25" s="58">
        <f t="shared" si="3"/>
        <v>8.6999999999999993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-4.5999999999999943</v>
      </c>
      <c r="K26" s="58">
        <f t="shared" si="5"/>
        <v>-4.5999999999999943</v>
      </c>
      <c r="L26" s="58">
        <f t="shared" si="5"/>
        <v>-3.5999999999999943</v>
      </c>
      <c r="M26" s="58">
        <f t="shared" si="5"/>
        <v>-3.5999999999999943</v>
      </c>
      <c r="N26" s="58">
        <f t="shared" si="5"/>
        <v>-11.6</v>
      </c>
      <c r="O26" s="58">
        <f t="shared" si="5"/>
        <v>-29.599999999999994</v>
      </c>
      <c r="P26" s="58">
        <f t="shared" si="5"/>
        <v>5.3999999999999986</v>
      </c>
      <c r="Q26" s="58">
        <f t="shared" si="5"/>
        <v>-5.6000000000000014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35</v>
      </c>
      <c r="K27" s="58">
        <f t="shared" si="7"/>
        <v>36.5</v>
      </c>
      <c r="L27" s="58">
        <f t="shared" si="7"/>
        <v>-3.5</v>
      </c>
      <c r="M27" s="58">
        <f t="shared" si="7"/>
        <v>-0.5</v>
      </c>
      <c r="N27" s="58">
        <f t="shared" si="7"/>
        <v>10</v>
      </c>
      <c r="O27" s="58">
        <f t="shared" si="7"/>
        <v>3.5</v>
      </c>
      <c r="P27" s="58">
        <f t="shared" si="7"/>
        <v>36.5</v>
      </c>
      <c r="Q27" s="58">
        <f t="shared" si="7"/>
        <v>10.5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35</v>
      </c>
      <c r="K28" s="58">
        <f t="shared" si="8"/>
        <v>49.100000000000009</v>
      </c>
      <c r="L28" s="58">
        <f t="shared" si="8"/>
        <v>-20.899999999999991</v>
      </c>
      <c r="M28" s="58">
        <f t="shared" si="8"/>
        <v>-17.899999999999991</v>
      </c>
      <c r="N28" s="58">
        <f t="shared" si="8"/>
        <v>-20</v>
      </c>
      <c r="O28" s="58">
        <f t="shared" si="8"/>
        <v>-3.8999999999999915</v>
      </c>
      <c r="P28" s="58">
        <f t="shared" si="8"/>
        <v>19.100000000000001</v>
      </c>
      <c r="Q28" s="58">
        <f t="shared" si="8"/>
        <v>-10.899999999999999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  <c r="F35" t="s">
        <v>60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39</v>
      </c>
      <c r="F36" t="s">
        <v>60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  <c r="F37" t="s">
        <v>61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  <c r="F38" t="s">
        <v>61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39</v>
      </c>
      <c r="G39" t="s">
        <v>60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39</v>
      </c>
      <c r="G40" t="s">
        <v>60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  <c r="G41" t="s">
        <v>61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  <c r="G42" t="s">
        <v>61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  <c r="F43" t="s">
        <v>60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  <c r="G44" t="s">
        <v>61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40</v>
      </c>
      <c r="G45" t="s">
        <v>61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  <c r="G46" t="s">
        <v>61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39</v>
      </c>
      <c r="G47" t="s">
        <v>61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39</v>
      </c>
      <c r="F48" t="s">
        <v>61</v>
      </c>
    </row>
    <row r="49" spans="1:6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  <c r="F49" t="s">
        <v>61</v>
      </c>
    </row>
    <row r="50" spans="1:6">
      <c r="A50" s="13">
        <v>0</v>
      </c>
      <c r="B50" s="13">
        <v>100</v>
      </c>
      <c r="C50" s="13">
        <v>100</v>
      </c>
      <c r="D50">
        <v>85</v>
      </c>
      <c r="E50" t="s">
        <v>40</v>
      </c>
      <c r="F50" t="s">
        <v>61</v>
      </c>
    </row>
    <row r="51" spans="1:6">
      <c r="A51" s="13">
        <v>0</v>
      </c>
      <c r="B51" s="13">
        <v>100</v>
      </c>
      <c r="C51" s="13">
        <v>100</v>
      </c>
      <c r="D51">
        <v>-90</v>
      </c>
      <c r="E51" t="s">
        <v>39</v>
      </c>
      <c r="F51" t="s">
        <v>61</v>
      </c>
    </row>
    <row r="52" spans="1:6">
      <c r="A52" s="13">
        <v>44.9</v>
      </c>
      <c r="B52" s="13">
        <v>3.5</v>
      </c>
      <c r="C52" s="13">
        <v>3.5</v>
      </c>
      <c r="D52">
        <v>-9.1000000000000014</v>
      </c>
    </row>
    <row r="53" spans="1:6">
      <c r="A53" s="13">
        <v>-44.5</v>
      </c>
      <c r="B53" s="13">
        <v>-3.5</v>
      </c>
      <c r="C53" s="13">
        <v>-3.5</v>
      </c>
      <c r="D53">
        <v>-6.5</v>
      </c>
    </row>
    <row r="54" spans="1:6">
      <c r="A54" s="13">
        <v>45.7</v>
      </c>
      <c r="B54" s="13">
        <v>5.5</v>
      </c>
      <c r="C54" s="13">
        <v>5.8</v>
      </c>
      <c r="D54">
        <v>-6.2999999999999972</v>
      </c>
    </row>
    <row r="55" spans="1:6">
      <c r="A55" s="13">
        <v>-42.4</v>
      </c>
      <c r="B55" s="13">
        <v>-5</v>
      </c>
      <c r="C55" s="13">
        <v>-5</v>
      </c>
      <c r="D55">
        <v>-6.3999999999999986</v>
      </c>
    </row>
    <row r="56" spans="1:6">
      <c r="A56" s="13">
        <v>15.6</v>
      </c>
      <c r="B56" s="13">
        <v>1</v>
      </c>
      <c r="C56" s="13">
        <v>1</v>
      </c>
      <c r="D56">
        <v>15.6</v>
      </c>
    </row>
    <row r="57" spans="1:6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2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77</v>
      </c>
      <c r="K3" s="61" t="s">
        <v>78</v>
      </c>
      <c r="L3" s="61" t="s">
        <v>79</v>
      </c>
      <c r="M3" s="61" t="s">
        <v>80</v>
      </c>
      <c r="N3" s="61" t="s">
        <v>81</v>
      </c>
      <c r="O3" s="61" t="s">
        <v>82</v>
      </c>
      <c r="P3" s="61" t="s">
        <v>83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15</v>
      </c>
      <c r="K16" s="51">
        <v>-30</v>
      </c>
      <c r="L16" s="51">
        <v>-30</v>
      </c>
      <c r="M16" s="51">
        <v>20</v>
      </c>
      <c r="N16" s="51">
        <v>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:AB26" si="4">G10</f>
        <v>0</v>
      </c>
      <c r="H26" s="58">
        <f t="shared" si="4"/>
        <v>0</v>
      </c>
      <c r="I26" s="58">
        <f t="shared" si="4"/>
        <v>0</v>
      </c>
      <c r="J26" s="58">
        <f t="shared" si="4"/>
        <v>0</v>
      </c>
      <c r="K26" s="58">
        <f t="shared" si="4"/>
        <v>0</v>
      </c>
      <c r="L26" s="58">
        <f t="shared" si="4"/>
        <v>8</v>
      </c>
      <c r="M26" s="58">
        <f t="shared" si="4"/>
        <v>-3</v>
      </c>
      <c r="N26" s="58">
        <f t="shared" si="4"/>
        <v>0</v>
      </c>
      <c r="O26" s="58">
        <f t="shared" si="4"/>
        <v>0</v>
      </c>
      <c r="P26" s="58">
        <f t="shared" si="4"/>
        <v>0</v>
      </c>
      <c r="Q26" s="58">
        <f t="shared" si="4"/>
        <v>0</v>
      </c>
      <c r="R26" s="58">
        <f t="shared" si="4"/>
        <v>0</v>
      </c>
      <c r="S26" s="58">
        <f t="shared" si="4"/>
        <v>0</v>
      </c>
      <c r="T26" s="58">
        <f t="shared" si="4"/>
        <v>0</v>
      </c>
      <c r="U26" s="58">
        <f t="shared" si="4"/>
        <v>0</v>
      </c>
      <c r="V26" s="58">
        <f t="shared" si="4"/>
        <v>0</v>
      </c>
      <c r="W26" s="58">
        <f t="shared" si="4"/>
        <v>0</v>
      </c>
      <c r="X26" s="58">
        <f t="shared" si="4"/>
        <v>0</v>
      </c>
      <c r="Y26" s="58">
        <f t="shared" si="4"/>
        <v>0</v>
      </c>
      <c r="Z26" s="58">
        <f t="shared" si="4"/>
        <v>0</v>
      </c>
      <c r="AA26" s="58">
        <f t="shared" si="4"/>
        <v>0</v>
      </c>
      <c r="AB26" s="58">
        <f t="shared" si="4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V28" si="5">G13</f>
        <v>0</v>
      </c>
      <c r="H27" s="58">
        <f t="shared" si="5"/>
        <v>0</v>
      </c>
      <c r="I27" s="58">
        <f t="shared" si="5"/>
        <v>0</v>
      </c>
      <c r="J27" s="58">
        <f t="shared" si="5"/>
        <v>0</v>
      </c>
      <c r="K27" s="58">
        <f t="shared" si="5"/>
        <v>0</v>
      </c>
      <c r="L27" s="58">
        <f t="shared" si="5"/>
        <v>8</v>
      </c>
      <c r="M27" s="58">
        <f t="shared" si="5"/>
        <v>-3</v>
      </c>
      <c r="N27" s="58">
        <f t="shared" si="5"/>
        <v>0</v>
      </c>
      <c r="O27" s="58">
        <f t="shared" si="5"/>
        <v>0</v>
      </c>
      <c r="P27" s="58">
        <f t="shared" si="5"/>
        <v>0</v>
      </c>
      <c r="Q27" s="58">
        <f t="shared" si="5"/>
        <v>0</v>
      </c>
      <c r="R27" s="58">
        <f t="shared" si="5"/>
        <v>0</v>
      </c>
      <c r="S27" s="58">
        <f t="shared" si="5"/>
        <v>0</v>
      </c>
      <c r="T27" s="58">
        <f t="shared" si="5"/>
        <v>0</v>
      </c>
      <c r="U27" s="58">
        <f t="shared" si="5"/>
        <v>0</v>
      </c>
      <c r="V27" s="58">
        <f t="shared" si="5"/>
        <v>0</v>
      </c>
      <c r="W27" s="58">
        <f t="shared" ref="H27:AB28" si="6">W13</f>
        <v>0</v>
      </c>
      <c r="X27" s="58">
        <f t="shared" si="6"/>
        <v>0</v>
      </c>
      <c r="Y27" s="58">
        <f t="shared" si="6"/>
        <v>0</v>
      </c>
      <c r="Z27" s="58">
        <f t="shared" si="6"/>
        <v>0</v>
      </c>
      <c r="AA27" s="58">
        <f t="shared" si="6"/>
        <v>0</v>
      </c>
      <c r="AB27" s="58">
        <f t="shared" si="6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5"/>
        <v>0</v>
      </c>
      <c r="H28" s="58">
        <f t="shared" si="6"/>
        <v>0</v>
      </c>
      <c r="I28" s="58">
        <f t="shared" si="6"/>
        <v>0</v>
      </c>
      <c r="J28" s="58">
        <f t="shared" si="6"/>
        <v>0</v>
      </c>
      <c r="K28" s="58">
        <f t="shared" si="6"/>
        <v>0</v>
      </c>
      <c r="L28" s="58">
        <f t="shared" si="6"/>
        <v>8</v>
      </c>
      <c r="M28" s="58">
        <f t="shared" si="6"/>
        <v>-3</v>
      </c>
      <c r="N28" s="58">
        <f t="shared" si="6"/>
        <v>0</v>
      </c>
      <c r="O28" s="58">
        <f t="shared" si="6"/>
        <v>0</v>
      </c>
      <c r="P28" s="58">
        <f t="shared" si="6"/>
        <v>0</v>
      </c>
      <c r="Q28" s="58">
        <f t="shared" si="6"/>
        <v>0</v>
      </c>
      <c r="R28" s="58">
        <f t="shared" si="6"/>
        <v>0</v>
      </c>
      <c r="S28" s="58">
        <f t="shared" si="6"/>
        <v>0</v>
      </c>
      <c r="T28" s="58">
        <f t="shared" si="6"/>
        <v>0</v>
      </c>
      <c r="U28" s="58">
        <f t="shared" si="6"/>
        <v>0</v>
      </c>
      <c r="V28" s="58">
        <f t="shared" si="6"/>
        <v>0</v>
      </c>
      <c r="W28" s="58">
        <f t="shared" si="6"/>
        <v>0</v>
      </c>
      <c r="X28" s="58">
        <f t="shared" si="6"/>
        <v>0</v>
      </c>
      <c r="Y28" s="58">
        <f t="shared" si="6"/>
        <v>0</v>
      </c>
      <c r="Z28" s="58">
        <f t="shared" si="6"/>
        <v>0</v>
      </c>
      <c r="AA28" s="58">
        <f t="shared" si="6"/>
        <v>0</v>
      </c>
      <c r="AB28" s="58">
        <f t="shared" si="6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:AB29" si="7">G18</f>
        <v>0</v>
      </c>
      <c r="H29" s="58">
        <f t="shared" si="7"/>
        <v>0</v>
      </c>
      <c r="I29" s="58">
        <f t="shared" si="7"/>
        <v>0</v>
      </c>
      <c r="J29" s="58">
        <f t="shared" si="7"/>
        <v>0</v>
      </c>
      <c r="K29" s="58">
        <f t="shared" si="7"/>
        <v>0</v>
      </c>
      <c r="L29" s="58">
        <f t="shared" si="7"/>
        <v>0</v>
      </c>
      <c r="M29" s="58">
        <f t="shared" si="7"/>
        <v>0</v>
      </c>
      <c r="N29" s="58">
        <f t="shared" si="7"/>
        <v>0</v>
      </c>
      <c r="O29" s="58">
        <f t="shared" si="7"/>
        <v>0</v>
      </c>
      <c r="P29" s="58">
        <f t="shared" si="7"/>
        <v>0</v>
      </c>
      <c r="Q29" s="58">
        <f t="shared" si="7"/>
        <v>0</v>
      </c>
      <c r="R29" s="58">
        <f t="shared" si="7"/>
        <v>0</v>
      </c>
      <c r="S29" s="58">
        <f t="shared" si="7"/>
        <v>0</v>
      </c>
      <c r="T29" s="58">
        <f t="shared" si="7"/>
        <v>0</v>
      </c>
      <c r="U29" s="58">
        <f t="shared" si="7"/>
        <v>0</v>
      </c>
      <c r="V29" s="58">
        <f t="shared" si="7"/>
        <v>0</v>
      </c>
      <c r="W29" s="58">
        <f t="shared" si="7"/>
        <v>0</v>
      </c>
      <c r="X29" s="58">
        <f t="shared" si="7"/>
        <v>0</v>
      </c>
      <c r="Y29" s="58">
        <f t="shared" si="7"/>
        <v>0</v>
      </c>
      <c r="Z29" s="58">
        <f t="shared" si="7"/>
        <v>0</v>
      </c>
      <c r="AA29" s="58">
        <f t="shared" si="7"/>
        <v>0</v>
      </c>
      <c r="AB29" s="58">
        <f t="shared" si="7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:AB30" si="8">G22</f>
        <v>0</v>
      </c>
      <c r="H30" s="58">
        <f t="shared" si="8"/>
        <v>0</v>
      </c>
      <c r="I30" s="58">
        <f t="shared" si="8"/>
        <v>0</v>
      </c>
      <c r="J30" s="58">
        <f t="shared" si="8"/>
        <v>0</v>
      </c>
      <c r="K30" s="58">
        <f t="shared" si="8"/>
        <v>0</v>
      </c>
      <c r="L30" s="58">
        <f t="shared" si="8"/>
        <v>0</v>
      </c>
      <c r="M30" s="58">
        <f t="shared" si="8"/>
        <v>0</v>
      </c>
      <c r="N30" s="58">
        <f t="shared" si="8"/>
        <v>0</v>
      </c>
      <c r="O30" s="58">
        <f t="shared" si="8"/>
        <v>0</v>
      </c>
      <c r="P30" s="58">
        <f t="shared" si="8"/>
        <v>0</v>
      </c>
      <c r="Q30" s="58">
        <f t="shared" si="8"/>
        <v>0</v>
      </c>
      <c r="R30" s="58">
        <f t="shared" si="8"/>
        <v>0</v>
      </c>
      <c r="S30" s="58">
        <f t="shared" si="8"/>
        <v>0</v>
      </c>
      <c r="T30" s="58">
        <f t="shared" si="8"/>
        <v>0</v>
      </c>
      <c r="U30" s="58">
        <f t="shared" si="8"/>
        <v>0</v>
      </c>
      <c r="V30" s="58">
        <f t="shared" si="8"/>
        <v>0</v>
      </c>
      <c r="W30" s="58">
        <f t="shared" si="8"/>
        <v>0</v>
      </c>
      <c r="X30" s="58">
        <f t="shared" si="8"/>
        <v>0</v>
      </c>
      <c r="Y30" s="58">
        <f t="shared" si="8"/>
        <v>0</v>
      </c>
      <c r="Z30" s="58">
        <f t="shared" si="8"/>
        <v>0</v>
      </c>
      <c r="AA30" s="58">
        <f t="shared" si="8"/>
        <v>0</v>
      </c>
      <c r="AB30" s="58">
        <f t="shared" si="8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G65" sqref="G65"/>
    </sheetView>
  </sheetViews>
  <sheetFormatPr defaultRowHeight="13"/>
  <sheetData>
    <row r="1" spans="1:28" ht="13.5" thickBot="1">
      <c r="A1" s="65" t="s">
        <v>0</v>
      </c>
      <c r="B1" s="66" t="s">
        <v>43</v>
      </c>
      <c r="C1" s="15"/>
      <c r="D1" s="59"/>
      <c r="E1" s="19"/>
      <c r="F1" s="19"/>
      <c r="G1" s="13"/>
      <c r="H1" s="16"/>
      <c r="I1" s="17"/>
      <c r="J1" s="17"/>
      <c r="K1" s="17"/>
      <c r="L1" s="17"/>
      <c r="M1" s="17"/>
      <c r="N1" s="17">
        <v>3</v>
      </c>
      <c r="O1" s="17"/>
      <c r="P1" s="17"/>
      <c r="Q1" s="17"/>
      <c r="R1" s="17"/>
      <c r="S1" s="17"/>
      <c r="T1" s="17"/>
      <c r="U1" s="18"/>
      <c r="V1" s="17"/>
      <c r="W1" s="17"/>
      <c r="X1" s="17"/>
      <c r="Y1" s="17"/>
      <c r="Z1" s="17"/>
      <c r="AA1" s="17"/>
      <c r="AB1" s="18"/>
    </row>
    <row r="2" spans="1:28">
      <c r="A2" s="67">
        <v>3</v>
      </c>
      <c r="B2" s="64" t="s">
        <v>44</v>
      </c>
      <c r="C2" s="19"/>
      <c r="D2" s="60"/>
      <c r="E2" s="19"/>
      <c r="F2" s="19"/>
      <c r="G2" s="20" t="s">
        <v>37</v>
      </c>
      <c r="H2" s="19"/>
      <c r="I2" s="19"/>
      <c r="J2" s="19"/>
      <c r="K2" s="19"/>
      <c r="L2" s="19"/>
      <c r="M2" s="19"/>
      <c r="N2" s="19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</row>
    <row r="3" spans="1:28">
      <c r="A3" s="19"/>
      <c r="B3" s="22"/>
      <c r="C3" s="19"/>
      <c r="D3" s="60"/>
      <c r="E3" s="19"/>
      <c r="F3" s="19"/>
      <c r="G3" s="23" t="s">
        <v>1</v>
      </c>
      <c r="H3" s="61"/>
      <c r="I3" s="61" t="s">
        <v>49</v>
      </c>
      <c r="J3" s="61" t="s">
        <v>50</v>
      </c>
      <c r="K3" s="61" t="s">
        <v>51</v>
      </c>
      <c r="L3" s="61" t="s">
        <v>52</v>
      </c>
      <c r="M3" s="61" t="s">
        <v>53</v>
      </c>
      <c r="N3" s="61" t="s">
        <v>54</v>
      </c>
      <c r="O3" s="61" t="s">
        <v>55</v>
      </c>
      <c r="P3" s="61" t="s">
        <v>56</v>
      </c>
      <c r="Q3" s="61" t="s">
        <v>57</v>
      </c>
      <c r="R3" s="61" t="s">
        <v>58</v>
      </c>
      <c r="S3" s="61" t="s">
        <v>59</v>
      </c>
      <c r="T3" s="61" t="s">
        <v>46</v>
      </c>
      <c r="U3" s="61" t="s">
        <v>44</v>
      </c>
      <c r="V3" s="61" t="s">
        <v>47</v>
      </c>
      <c r="W3" s="61" t="s">
        <v>48</v>
      </c>
      <c r="X3" s="61"/>
      <c r="Y3" s="61"/>
      <c r="Z3" s="61"/>
      <c r="AA3" s="61"/>
      <c r="AB3" s="61"/>
    </row>
    <row r="4" spans="1:28">
      <c r="A4" s="19"/>
      <c r="B4" s="14"/>
      <c r="C4" s="19"/>
      <c r="D4" s="19"/>
      <c r="E4" s="19"/>
      <c r="F4" s="19"/>
      <c r="G4" s="24" t="s">
        <v>36</v>
      </c>
      <c r="H4" s="62">
        <v>0</v>
      </c>
      <c r="I4" s="62">
        <f>H4+H5+H6</f>
        <v>2</v>
      </c>
      <c r="J4" s="62">
        <f t="shared" ref="J4:AB4" si="0">I4+I5+I6</f>
        <v>102</v>
      </c>
      <c r="K4" s="62">
        <f t="shared" si="0"/>
        <v>104</v>
      </c>
      <c r="L4" s="62">
        <f t="shared" si="0"/>
        <v>114</v>
      </c>
      <c r="M4" s="62">
        <f t="shared" si="0"/>
        <v>118</v>
      </c>
      <c r="N4" s="62">
        <f t="shared" si="0"/>
        <v>126</v>
      </c>
      <c r="O4" s="62">
        <f t="shared" si="0"/>
        <v>130</v>
      </c>
      <c r="P4" s="62">
        <f t="shared" si="0"/>
        <v>132</v>
      </c>
      <c r="Q4" s="62">
        <f t="shared" si="0"/>
        <v>142</v>
      </c>
      <c r="R4" s="62">
        <f t="shared" si="0"/>
        <v>147</v>
      </c>
      <c r="S4" s="62">
        <f t="shared" si="0"/>
        <v>152</v>
      </c>
      <c r="T4" s="62">
        <f t="shared" si="0"/>
        <v>162</v>
      </c>
      <c r="U4" s="62">
        <f t="shared" si="0"/>
        <v>174</v>
      </c>
      <c r="V4" s="62">
        <f t="shared" si="0"/>
        <v>187</v>
      </c>
      <c r="W4" s="62">
        <f t="shared" si="0"/>
        <v>201</v>
      </c>
      <c r="X4" s="62">
        <f t="shared" si="0"/>
        <v>226</v>
      </c>
      <c r="Y4" s="62">
        <f t="shared" si="0"/>
        <v>326</v>
      </c>
      <c r="Z4" s="62">
        <f t="shared" si="0"/>
        <v>426</v>
      </c>
      <c r="AA4" s="62">
        <f t="shared" si="0"/>
        <v>526</v>
      </c>
      <c r="AB4" s="62">
        <f t="shared" si="0"/>
        <v>626</v>
      </c>
    </row>
    <row r="5" spans="1:28">
      <c r="A5" s="19"/>
      <c r="B5" s="14"/>
      <c r="C5" s="19"/>
      <c r="D5" s="19"/>
      <c r="F5" s="19"/>
      <c r="G5" s="25" t="s">
        <v>2</v>
      </c>
      <c r="H5" s="63">
        <v>2</v>
      </c>
      <c r="I5" s="63">
        <v>100</v>
      </c>
      <c r="J5" s="63">
        <v>2</v>
      </c>
      <c r="K5" s="63">
        <v>10</v>
      </c>
      <c r="L5" s="63">
        <v>2</v>
      </c>
      <c r="M5" s="63">
        <v>2</v>
      </c>
      <c r="N5" s="63">
        <v>2</v>
      </c>
      <c r="O5" s="63">
        <v>2</v>
      </c>
      <c r="P5" s="63">
        <v>10</v>
      </c>
      <c r="Q5" s="63">
        <v>3</v>
      </c>
      <c r="R5" s="63">
        <v>5</v>
      </c>
      <c r="S5" s="63">
        <v>10</v>
      </c>
      <c r="T5" s="63">
        <v>12</v>
      </c>
      <c r="U5" s="63">
        <v>13</v>
      </c>
      <c r="V5" s="63">
        <v>14</v>
      </c>
      <c r="W5" s="63">
        <v>25</v>
      </c>
      <c r="X5" s="63">
        <v>100</v>
      </c>
      <c r="Y5" s="63">
        <v>100</v>
      </c>
      <c r="Z5" s="63">
        <v>100</v>
      </c>
      <c r="AA5" s="63">
        <v>100</v>
      </c>
      <c r="AB5" s="63">
        <v>100</v>
      </c>
    </row>
    <row r="6" spans="1:28">
      <c r="A6" s="19"/>
      <c r="B6" s="14"/>
      <c r="C6" s="19"/>
      <c r="D6" s="19"/>
      <c r="E6" s="13"/>
      <c r="F6" s="19"/>
      <c r="G6" s="26" t="s">
        <v>3</v>
      </c>
      <c r="H6" s="63">
        <v>0</v>
      </c>
      <c r="I6" s="63">
        <v>0</v>
      </c>
      <c r="J6" s="63">
        <v>0</v>
      </c>
      <c r="K6" s="63">
        <v>0</v>
      </c>
      <c r="L6" s="63">
        <v>2</v>
      </c>
      <c r="M6" s="63">
        <v>6</v>
      </c>
      <c r="N6" s="63">
        <v>2</v>
      </c>
      <c r="O6" s="63">
        <v>0</v>
      </c>
      <c r="P6" s="63">
        <v>0</v>
      </c>
      <c r="Q6" s="63">
        <v>2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3">
        <v>0</v>
      </c>
      <c r="X6" s="63">
        <v>0</v>
      </c>
      <c r="Y6" s="63">
        <v>0</v>
      </c>
      <c r="Z6" s="63">
        <v>0</v>
      </c>
      <c r="AA6" s="63">
        <v>0</v>
      </c>
      <c r="AB6" s="63">
        <v>0</v>
      </c>
    </row>
    <row r="7" spans="1:28">
      <c r="A7" s="27" t="s">
        <v>4</v>
      </c>
      <c r="B7" s="28" t="s">
        <v>5</v>
      </c>
      <c r="C7" s="27"/>
      <c r="D7" s="29" t="s">
        <v>6</v>
      </c>
      <c r="E7" s="30" t="s">
        <v>32</v>
      </c>
      <c r="F7" s="31" t="s">
        <v>33</v>
      </c>
      <c r="G7" s="32" t="s">
        <v>34</v>
      </c>
      <c r="H7" s="33">
        <v>0</v>
      </c>
      <c r="I7" s="33">
        <v>0</v>
      </c>
      <c r="J7" s="33">
        <v>1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33">
        <v>2</v>
      </c>
      <c r="Q7" s="33">
        <v>0</v>
      </c>
      <c r="R7" s="33">
        <v>0</v>
      </c>
      <c r="S7" s="33">
        <v>2</v>
      </c>
      <c r="T7" s="33">
        <v>0</v>
      </c>
      <c r="U7" s="33">
        <v>0</v>
      </c>
      <c r="V7" s="33"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  <c r="AB7" s="33">
        <v>0</v>
      </c>
    </row>
    <row r="8" spans="1:28">
      <c r="A8" s="34" t="s">
        <v>7</v>
      </c>
      <c r="B8" s="35">
        <v>1</v>
      </c>
      <c r="C8" s="36">
        <v>32.820512820512818</v>
      </c>
      <c r="D8" s="10">
        <v>1</v>
      </c>
      <c r="E8" s="37">
        <v>1</v>
      </c>
      <c r="F8" s="38">
        <v>50</v>
      </c>
      <c r="G8" s="38">
        <v>0</v>
      </c>
      <c r="H8" s="38">
        <v>0</v>
      </c>
      <c r="I8" s="38">
        <v>0</v>
      </c>
      <c r="J8" s="38">
        <v>-7</v>
      </c>
      <c r="K8" s="38">
        <v>0</v>
      </c>
      <c r="L8" s="38">
        <v>15</v>
      </c>
      <c r="M8" s="38">
        <v>15</v>
      </c>
      <c r="N8" s="38">
        <v>-7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Y8" s="38">
        <v>0</v>
      </c>
      <c r="Z8" s="38">
        <v>0</v>
      </c>
      <c r="AA8" s="38">
        <v>0</v>
      </c>
      <c r="AB8" s="38">
        <v>0</v>
      </c>
    </row>
    <row r="9" spans="1:28">
      <c r="A9" s="34" t="s">
        <v>8</v>
      </c>
      <c r="B9" s="39">
        <v>2</v>
      </c>
      <c r="C9" s="36">
        <v>37.948717948717949</v>
      </c>
      <c r="D9" s="10">
        <v>2</v>
      </c>
      <c r="E9" s="37">
        <v>0</v>
      </c>
      <c r="F9" s="38">
        <v>5</v>
      </c>
      <c r="G9" s="38">
        <v>0</v>
      </c>
      <c r="H9" s="38">
        <v>0</v>
      </c>
      <c r="I9" s="38">
        <v>0</v>
      </c>
      <c r="J9" s="38">
        <v>0</v>
      </c>
      <c r="K9" s="38">
        <v>0</v>
      </c>
      <c r="L9" s="38">
        <v>8</v>
      </c>
      <c r="M9" s="38">
        <v>-3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Y9" s="38">
        <v>0</v>
      </c>
      <c r="Z9" s="38">
        <v>0</v>
      </c>
      <c r="AA9" s="38">
        <v>0</v>
      </c>
      <c r="AB9" s="38">
        <v>0</v>
      </c>
    </row>
    <row r="10" spans="1:28">
      <c r="A10" s="34" t="s">
        <v>9</v>
      </c>
      <c r="B10" s="35">
        <v>4</v>
      </c>
      <c r="C10" s="36">
        <v>22.564102564102566</v>
      </c>
      <c r="D10" s="10">
        <v>3</v>
      </c>
      <c r="E10" s="37">
        <v>1</v>
      </c>
      <c r="F10" s="38">
        <v>-5</v>
      </c>
      <c r="G10" s="38">
        <v>0</v>
      </c>
      <c r="H10" s="38">
        <v>0</v>
      </c>
      <c r="I10" s="38">
        <v>0</v>
      </c>
      <c r="J10" s="38">
        <v>0</v>
      </c>
      <c r="K10" s="38">
        <v>0</v>
      </c>
      <c r="L10" s="38">
        <v>8</v>
      </c>
      <c r="M10" s="38">
        <v>-3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Y10" s="38">
        <v>0</v>
      </c>
      <c r="Z10" s="38">
        <v>0</v>
      </c>
      <c r="AA10" s="38">
        <v>0</v>
      </c>
      <c r="AB10" s="38">
        <v>0</v>
      </c>
    </row>
    <row r="11" spans="1:28">
      <c r="A11" s="34" t="s">
        <v>10</v>
      </c>
      <c r="B11" s="35">
        <v>6</v>
      </c>
      <c r="C11" s="36">
        <v>45.641025641025642</v>
      </c>
      <c r="D11" s="10">
        <v>4</v>
      </c>
      <c r="E11" s="37">
        <v>0</v>
      </c>
      <c r="F11" s="38">
        <v>15</v>
      </c>
      <c r="G11" s="38">
        <v>0</v>
      </c>
      <c r="H11" s="38">
        <v>0</v>
      </c>
      <c r="I11" s="38">
        <v>0</v>
      </c>
      <c r="J11" s="38">
        <v>-5</v>
      </c>
      <c r="K11" s="38">
        <v>-5</v>
      </c>
      <c r="L11" s="38">
        <v>-5</v>
      </c>
      <c r="M11" s="38">
        <v>-5</v>
      </c>
      <c r="N11" s="38">
        <v>-5</v>
      </c>
      <c r="O11" s="38">
        <v>-5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>
        <v>0</v>
      </c>
      <c r="AB11" s="38">
        <v>0</v>
      </c>
    </row>
    <row r="12" spans="1:28">
      <c r="A12" s="40" t="s">
        <v>11</v>
      </c>
      <c r="B12" s="41">
        <v>7</v>
      </c>
      <c r="C12" s="42">
        <v>25.128205128205128</v>
      </c>
      <c r="D12" s="11">
        <v>1</v>
      </c>
      <c r="E12" s="43">
        <f>IF(E8=0,1,0)</f>
        <v>0</v>
      </c>
      <c r="F12" s="44">
        <v>50</v>
      </c>
      <c r="G12" s="44">
        <v>3</v>
      </c>
      <c r="H12" s="44">
        <v>0</v>
      </c>
      <c r="I12" s="44">
        <v>0</v>
      </c>
      <c r="J12" s="44">
        <v>-7</v>
      </c>
      <c r="K12" s="44">
        <v>0</v>
      </c>
      <c r="L12" s="44">
        <v>15</v>
      </c>
      <c r="M12" s="44">
        <v>15</v>
      </c>
      <c r="N12" s="44">
        <v>-7</v>
      </c>
      <c r="O12" s="44">
        <v>0</v>
      </c>
      <c r="P12" s="44">
        <v>0</v>
      </c>
      <c r="Q12" s="44">
        <v>0</v>
      </c>
      <c r="R12" s="44">
        <v>0</v>
      </c>
      <c r="S12" s="44">
        <v>0</v>
      </c>
      <c r="T12" s="44">
        <v>0</v>
      </c>
      <c r="U12" s="44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</row>
    <row r="13" spans="1:28">
      <c r="A13" s="40" t="s">
        <v>12</v>
      </c>
      <c r="B13" s="45">
        <v>8</v>
      </c>
      <c r="C13" s="42">
        <v>53.333333333333336</v>
      </c>
      <c r="D13" s="11">
        <v>2</v>
      </c>
      <c r="E13" s="43">
        <f t="shared" ref="E13:E15" si="1">IF(E9=0,1,0)</f>
        <v>1</v>
      </c>
      <c r="F13" s="44">
        <v>6</v>
      </c>
      <c r="G13" s="44">
        <v>0</v>
      </c>
      <c r="H13" s="44">
        <v>0</v>
      </c>
      <c r="I13" s="44">
        <v>0</v>
      </c>
      <c r="J13" s="44">
        <v>0</v>
      </c>
      <c r="K13" s="44">
        <v>0</v>
      </c>
      <c r="L13" s="44">
        <v>8</v>
      </c>
      <c r="M13" s="44">
        <v>-3</v>
      </c>
      <c r="N13" s="44">
        <v>0</v>
      </c>
      <c r="O13" s="44">
        <v>0</v>
      </c>
      <c r="P13" s="44">
        <v>0</v>
      </c>
      <c r="Q13" s="44">
        <v>0</v>
      </c>
      <c r="R13" s="44">
        <v>0</v>
      </c>
      <c r="S13" s="44">
        <v>0</v>
      </c>
      <c r="T13" s="44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</row>
    <row r="14" spans="1:28">
      <c r="A14" s="40" t="s">
        <v>13</v>
      </c>
      <c r="B14" s="46">
        <v>10</v>
      </c>
      <c r="C14" s="42">
        <v>66.15384615384616</v>
      </c>
      <c r="D14" s="11">
        <v>3</v>
      </c>
      <c r="E14" s="43">
        <f t="shared" si="1"/>
        <v>0</v>
      </c>
      <c r="F14" s="44">
        <v>-4</v>
      </c>
      <c r="G14" s="44">
        <v>0</v>
      </c>
      <c r="H14" s="44">
        <v>0</v>
      </c>
      <c r="I14" s="44">
        <v>0</v>
      </c>
      <c r="J14" s="44">
        <v>0</v>
      </c>
      <c r="K14" s="44">
        <v>0</v>
      </c>
      <c r="L14" s="44">
        <v>8</v>
      </c>
      <c r="M14" s="44">
        <v>-3</v>
      </c>
      <c r="N14" s="44">
        <v>0</v>
      </c>
      <c r="O14" s="44">
        <v>0</v>
      </c>
      <c r="P14" s="44">
        <v>0</v>
      </c>
      <c r="Q14" s="44">
        <v>0</v>
      </c>
      <c r="R14" s="44">
        <v>0</v>
      </c>
      <c r="S14" s="44">
        <v>0</v>
      </c>
      <c r="T14" s="44">
        <v>0</v>
      </c>
      <c r="U14" s="44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</row>
    <row r="15" spans="1:28">
      <c r="A15" s="40" t="s">
        <v>14</v>
      </c>
      <c r="B15" s="45">
        <v>12</v>
      </c>
      <c r="C15" s="42">
        <v>22.564102564102566</v>
      </c>
      <c r="D15" s="11">
        <v>4</v>
      </c>
      <c r="E15" s="43">
        <f t="shared" si="1"/>
        <v>1</v>
      </c>
      <c r="F15" s="44">
        <v>16</v>
      </c>
      <c r="G15" s="44">
        <v>0</v>
      </c>
      <c r="H15" s="44">
        <v>0</v>
      </c>
      <c r="I15" s="44">
        <v>0</v>
      </c>
      <c r="J15" s="44">
        <v>-5</v>
      </c>
      <c r="K15" s="44">
        <v>-5</v>
      </c>
      <c r="L15" s="44">
        <v>-5</v>
      </c>
      <c r="M15" s="44">
        <v>-5</v>
      </c>
      <c r="N15" s="44">
        <v>-5</v>
      </c>
      <c r="O15" s="44">
        <v>-5</v>
      </c>
      <c r="P15" s="44">
        <v>0</v>
      </c>
      <c r="Q15" s="44">
        <v>0</v>
      </c>
      <c r="R15" s="44">
        <v>0</v>
      </c>
      <c r="S15" s="44">
        <v>0</v>
      </c>
      <c r="T15" s="44">
        <v>0</v>
      </c>
      <c r="U15" s="44">
        <v>0</v>
      </c>
      <c r="V15" s="44">
        <v>0</v>
      </c>
      <c r="W15" s="44">
        <v>0</v>
      </c>
      <c r="X15" s="44">
        <v>0</v>
      </c>
      <c r="Y15" s="44">
        <v>0</v>
      </c>
      <c r="Z15" s="44">
        <v>0</v>
      </c>
      <c r="AA15" s="44">
        <v>0</v>
      </c>
      <c r="AB15" s="44">
        <v>0</v>
      </c>
    </row>
    <row r="16" spans="1:28">
      <c r="A16" s="47" t="s">
        <v>15</v>
      </c>
      <c r="B16" s="48">
        <v>13</v>
      </c>
      <c r="C16" s="49">
        <v>22.564102564102566</v>
      </c>
      <c r="D16" s="12" t="s">
        <v>45</v>
      </c>
      <c r="E16" s="50">
        <v>0</v>
      </c>
      <c r="F16" s="51">
        <v>0</v>
      </c>
      <c r="G16" s="51">
        <v>0</v>
      </c>
      <c r="H16" s="51">
        <v>0</v>
      </c>
      <c r="I16" s="51">
        <v>0</v>
      </c>
      <c r="J16" s="51">
        <v>-15</v>
      </c>
      <c r="K16" s="51">
        <v>30</v>
      </c>
      <c r="L16" s="51">
        <v>30</v>
      </c>
      <c r="M16" s="51">
        <v>-20</v>
      </c>
      <c r="N16" s="51">
        <v>-30</v>
      </c>
      <c r="O16" s="51">
        <v>0</v>
      </c>
      <c r="P16" s="51">
        <v>0</v>
      </c>
      <c r="Q16" s="51">
        <v>0</v>
      </c>
      <c r="R16" s="51">
        <v>0</v>
      </c>
      <c r="S16" s="51">
        <v>0</v>
      </c>
      <c r="T16" s="51">
        <v>0</v>
      </c>
      <c r="U16" s="51">
        <v>0</v>
      </c>
      <c r="V16" s="51">
        <v>0</v>
      </c>
      <c r="W16" s="51">
        <v>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</row>
    <row r="17" spans="1:28">
      <c r="A17" s="34" t="s">
        <v>16</v>
      </c>
      <c r="B17" s="39">
        <v>14</v>
      </c>
      <c r="C17" s="36">
        <v>27.692307692307693</v>
      </c>
      <c r="D17" s="10">
        <v>5</v>
      </c>
      <c r="E17" s="37">
        <v>1</v>
      </c>
      <c r="F17" s="38">
        <v>60</v>
      </c>
      <c r="G17" s="38">
        <v>0</v>
      </c>
      <c r="H17" s="38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Y17" s="38">
        <v>0</v>
      </c>
      <c r="Z17" s="38">
        <v>0</v>
      </c>
      <c r="AA17" s="38">
        <v>0</v>
      </c>
      <c r="AB17" s="38">
        <v>0</v>
      </c>
    </row>
    <row r="18" spans="1:28">
      <c r="A18" s="34" t="s">
        <v>17</v>
      </c>
      <c r="B18" s="35">
        <v>15</v>
      </c>
      <c r="C18" s="36">
        <v>17.435897435897434</v>
      </c>
      <c r="D18" s="10">
        <v>6</v>
      </c>
      <c r="E18" s="37">
        <v>0</v>
      </c>
      <c r="F18" s="38">
        <v>3</v>
      </c>
      <c r="G18" s="38">
        <v>0</v>
      </c>
      <c r="H18" s="3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Y18" s="38">
        <v>0</v>
      </c>
      <c r="Z18" s="38">
        <v>0</v>
      </c>
      <c r="AA18" s="38">
        <v>0</v>
      </c>
      <c r="AB18" s="38">
        <v>0</v>
      </c>
    </row>
    <row r="19" spans="1:28">
      <c r="A19" s="34" t="s">
        <v>19</v>
      </c>
      <c r="B19" s="35">
        <v>17</v>
      </c>
      <c r="C19" s="36">
        <v>25.128205128205128</v>
      </c>
      <c r="D19" s="10">
        <v>7</v>
      </c>
      <c r="E19" s="37">
        <v>1</v>
      </c>
      <c r="F19" s="38">
        <v>100</v>
      </c>
      <c r="G19" s="38">
        <v>0</v>
      </c>
      <c r="H19" s="38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>
        <v>0</v>
      </c>
      <c r="AB19" s="38">
        <v>0</v>
      </c>
    </row>
    <row r="20" spans="1:28">
      <c r="A20" s="34" t="s">
        <v>18</v>
      </c>
      <c r="B20" s="35">
        <v>18</v>
      </c>
      <c r="C20" s="36">
        <v>43.07692307692308</v>
      </c>
      <c r="D20" s="10">
        <v>8</v>
      </c>
      <c r="E20" s="37">
        <v>0</v>
      </c>
      <c r="F20" s="38">
        <v>100</v>
      </c>
      <c r="G20" s="38">
        <v>0</v>
      </c>
      <c r="H20" s="38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Y20" s="38">
        <v>0</v>
      </c>
      <c r="Z20" s="38">
        <v>0</v>
      </c>
      <c r="AA20" s="38">
        <v>0</v>
      </c>
      <c r="AB20" s="38">
        <v>0</v>
      </c>
    </row>
    <row r="21" spans="1:28">
      <c r="A21" s="40" t="s">
        <v>20</v>
      </c>
      <c r="B21" s="45">
        <v>19</v>
      </c>
      <c r="C21" s="42">
        <v>22.564102564102566</v>
      </c>
      <c r="D21" s="11">
        <v>5</v>
      </c>
      <c r="E21" s="43">
        <f>IF(E17=0,1,0)</f>
        <v>0</v>
      </c>
      <c r="F21" s="44">
        <v>65</v>
      </c>
      <c r="G21" s="44">
        <v>0</v>
      </c>
      <c r="H21" s="44">
        <v>0</v>
      </c>
      <c r="I21" s="44">
        <v>0</v>
      </c>
      <c r="J21" s="44">
        <v>0</v>
      </c>
      <c r="K21" s="44">
        <v>0</v>
      </c>
      <c r="L21" s="44">
        <v>0</v>
      </c>
      <c r="M21" s="44">
        <v>0</v>
      </c>
      <c r="N21" s="44">
        <v>0</v>
      </c>
      <c r="O21" s="44">
        <v>0</v>
      </c>
      <c r="P21" s="44">
        <v>0</v>
      </c>
      <c r="Q21" s="44">
        <v>0</v>
      </c>
      <c r="R21" s="44">
        <v>0</v>
      </c>
      <c r="S21" s="44">
        <v>0</v>
      </c>
      <c r="T21" s="44">
        <v>0</v>
      </c>
      <c r="U21" s="44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</row>
    <row r="22" spans="1:28">
      <c r="A22" s="40" t="s">
        <v>21</v>
      </c>
      <c r="B22" s="45">
        <v>20</v>
      </c>
      <c r="C22" s="42">
        <v>35.384615384615387</v>
      </c>
      <c r="D22" s="11">
        <v>6</v>
      </c>
      <c r="E22" s="43">
        <f t="shared" ref="E22:E24" si="2">IF(E18=0,1,0)</f>
        <v>1</v>
      </c>
      <c r="F22" s="44">
        <v>0</v>
      </c>
      <c r="G22" s="44">
        <v>0</v>
      </c>
      <c r="H22" s="44">
        <v>0</v>
      </c>
      <c r="I22" s="44">
        <v>0</v>
      </c>
      <c r="J22" s="44">
        <v>0</v>
      </c>
      <c r="K22" s="44">
        <v>0</v>
      </c>
      <c r="L22" s="44">
        <v>0</v>
      </c>
      <c r="M22" s="44">
        <v>0</v>
      </c>
      <c r="N22" s="44">
        <v>0</v>
      </c>
      <c r="O22" s="44">
        <v>0</v>
      </c>
      <c r="P22" s="44">
        <v>0</v>
      </c>
      <c r="Q22" s="44">
        <v>0</v>
      </c>
      <c r="R22" s="44">
        <v>0</v>
      </c>
      <c r="S22" s="44">
        <v>0</v>
      </c>
      <c r="T22" s="44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</row>
    <row r="23" spans="1:28">
      <c r="A23" s="40" t="s">
        <v>22</v>
      </c>
      <c r="B23" s="45">
        <v>22</v>
      </c>
      <c r="C23" s="42">
        <v>27.692307692307693</v>
      </c>
      <c r="D23" s="11">
        <v>7</v>
      </c>
      <c r="E23" s="43">
        <f t="shared" si="2"/>
        <v>0</v>
      </c>
      <c r="F23" s="44">
        <v>100</v>
      </c>
      <c r="G23" s="44">
        <v>0</v>
      </c>
      <c r="H23" s="44">
        <v>0</v>
      </c>
      <c r="I23" s="44">
        <v>0</v>
      </c>
      <c r="J23" s="44">
        <v>0</v>
      </c>
      <c r="K23" s="44">
        <v>0</v>
      </c>
      <c r="L23" s="44">
        <v>0</v>
      </c>
      <c r="M23" s="44">
        <v>0</v>
      </c>
      <c r="N23" s="44">
        <v>0</v>
      </c>
      <c r="O23" s="44">
        <v>0</v>
      </c>
      <c r="P23" s="44">
        <v>0</v>
      </c>
      <c r="Q23" s="44">
        <v>0</v>
      </c>
      <c r="R23" s="44">
        <v>0</v>
      </c>
      <c r="S23" s="44">
        <v>0</v>
      </c>
      <c r="T23" s="44">
        <v>0</v>
      </c>
      <c r="U23" s="44">
        <v>0</v>
      </c>
      <c r="V23" s="44">
        <v>0</v>
      </c>
      <c r="W23" s="44">
        <v>0</v>
      </c>
      <c r="X23" s="44">
        <v>0</v>
      </c>
      <c r="Y23" s="44">
        <v>0</v>
      </c>
      <c r="Z23" s="44">
        <v>0</v>
      </c>
      <c r="AA23" s="44">
        <v>0</v>
      </c>
      <c r="AB23" s="44">
        <v>0</v>
      </c>
    </row>
    <row r="24" spans="1:28">
      <c r="A24" s="40" t="s">
        <v>35</v>
      </c>
      <c r="B24" s="45">
        <v>23</v>
      </c>
      <c r="C24" s="42">
        <v>30.256410256410255</v>
      </c>
      <c r="D24" s="11">
        <v>8</v>
      </c>
      <c r="E24" s="43">
        <f t="shared" si="2"/>
        <v>1</v>
      </c>
      <c r="F24" s="44">
        <v>100</v>
      </c>
      <c r="G24" s="44">
        <v>0</v>
      </c>
      <c r="H24" s="44">
        <v>0</v>
      </c>
      <c r="I24" s="44">
        <v>0</v>
      </c>
      <c r="J24" s="44">
        <v>0</v>
      </c>
      <c r="K24" s="44">
        <v>0</v>
      </c>
      <c r="L24" s="44">
        <v>0</v>
      </c>
      <c r="M24" s="44">
        <v>0</v>
      </c>
      <c r="N24" s="44">
        <v>0</v>
      </c>
      <c r="O24" s="44">
        <v>0</v>
      </c>
      <c r="P24" s="44">
        <v>0</v>
      </c>
      <c r="Q24" s="44">
        <v>0</v>
      </c>
      <c r="R24" s="44">
        <v>0</v>
      </c>
      <c r="S24" s="44">
        <v>0</v>
      </c>
      <c r="T24" s="44">
        <v>0</v>
      </c>
      <c r="U24" s="44">
        <v>0</v>
      </c>
      <c r="V24" s="44">
        <v>0</v>
      </c>
      <c r="W24" s="44">
        <v>0</v>
      </c>
      <c r="X24" s="44">
        <v>0</v>
      </c>
      <c r="Y24" s="44">
        <v>0</v>
      </c>
      <c r="Z24" s="44">
        <v>0</v>
      </c>
      <c r="AA24" s="44">
        <v>0</v>
      </c>
      <c r="AB24" s="44">
        <v>0</v>
      </c>
    </row>
    <row r="25" spans="1:28">
      <c r="A25" s="52" t="s">
        <v>8</v>
      </c>
      <c r="B25" s="53">
        <v>3</v>
      </c>
      <c r="C25" s="54">
        <v>30.256410256410255</v>
      </c>
      <c r="D25" s="55"/>
      <c r="E25" s="56">
        <f>E9</f>
        <v>0</v>
      </c>
      <c r="F25" s="57">
        <v>5.2</v>
      </c>
      <c r="G25" s="58">
        <f>G9</f>
        <v>0</v>
      </c>
      <c r="H25" s="58">
        <f t="shared" ref="H25:AB25" si="3">H9</f>
        <v>0</v>
      </c>
      <c r="I25" s="58">
        <f t="shared" si="3"/>
        <v>0</v>
      </c>
      <c r="J25" s="58">
        <f t="shared" si="3"/>
        <v>0</v>
      </c>
      <c r="K25" s="58">
        <f t="shared" si="3"/>
        <v>0</v>
      </c>
      <c r="L25" s="58">
        <f t="shared" si="3"/>
        <v>8</v>
      </c>
      <c r="M25" s="58">
        <f t="shared" si="3"/>
        <v>-3</v>
      </c>
      <c r="N25" s="58">
        <f t="shared" si="3"/>
        <v>0</v>
      </c>
      <c r="O25" s="58">
        <f t="shared" si="3"/>
        <v>0</v>
      </c>
      <c r="P25" s="58">
        <f t="shared" si="3"/>
        <v>0</v>
      </c>
      <c r="Q25" s="58">
        <f t="shared" si="3"/>
        <v>0</v>
      </c>
      <c r="R25" s="58">
        <f t="shared" si="3"/>
        <v>0</v>
      </c>
      <c r="S25" s="58">
        <f t="shared" si="3"/>
        <v>0</v>
      </c>
      <c r="T25" s="58">
        <f t="shared" si="3"/>
        <v>0</v>
      </c>
      <c r="U25" s="58">
        <f t="shared" si="3"/>
        <v>0</v>
      </c>
      <c r="V25" s="58">
        <f t="shared" si="3"/>
        <v>0</v>
      </c>
      <c r="W25" s="58">
        <f t="shared" si="3"/>
        <v>0</v>
      </c>
      <c r="X25" s="58">
        <f t="shared" si="3"/>
        <v>0</v>
      </c>
      <c r="Y25" s="58">
        <f t="shared" si="3"/>
        <v>0</v>
      </c>
      <c r="Z25" s="58">
        <f t="shared" si="3"/>
        <v>0</v>
      </c>
      <c r="AA25" s="58">
        <f t="shared" si="3"/>
        <v>0</v>
      </c>
      <c r="AB25" s="58">
        <f t="shared" si="3"/>
        <v>0</v>
      </c>
    </row>
    <row r="26" spans="1:28">
      <c r="A26" s="52" t="s">
        <v>9</v>
      </c>
      <c r="B26" s="53">
        <v>5</v>
      </c>
      <c r="C26" s="54">
        <v>48.205128205128204</v>
      </c>
      <c r="D26" s="55"/>
      <c r="E26" s="56">
        <f>E10</f>
        <v>1</v>
      </c>
      <c r="F26" s="57">
        <v>-1.8</v>
      </c>
      <c r="G26" s="58">
        <f t="shared" ref="G26" si="4">G10</f>
        <v>0</v>
      </c>
      <c r="H26" s="58">
        <f t="shared" ref="H26:AB26" si="5">H10</f>
        <v>0</v>
      </c>
      <c r="I26" s="58">
        <f t="shared" si="5"/>
        <v>0</v>
      </c>
      <c r="J26" s="58">
        <f t="shared" si="5"/>
        <v>0</v>
      </c>
      <c r="K26" s="58">
        <f t="shared" si="5"/>
        <v>0</v>
      </c>
      <c r="L26" s="58">
        <f t="shared" si="5"/>
        <v>8</v>
      </c>
      <c r="M26" s="58">
        <f t="shared" si="5"/>
        <v>-3</v>
      </c>
      <c r="N26" s="58">
        <f t="shared" si="5"/>
        <v>0</v>
      </c>
      <c r="O26" s="58">
        <f t="shared" si="5"/>
        <v>0</v>
      </c>
      <c r="P26" s="58">
        <f t="shared" si="5"/>
        <v>0</v>
      </c>
      <c r="Q26" s="58">
        <f t="shared" si="5"/>
        <v>0</v>
      </c>
      <c r="R26" s="58">
        <f t="shared" si="5"/>
        <v>0</v>
      </c>
      <c r="S26" s="58">
        <f t="shared" si="5"/>
        <v>0</v>
      </c>
      <c r="T26" s="58">
        <f t="shared" si="5"/>
        <v>0</v>
      </c>
      <c r="U26" s="58">
        <f t="shared" si="5"/>
        <v>0</v>
      </c>
      <c r="V26" s="58">
        <f t="shared" si="5"/>
        <v>0</v>
      </c>
      <c r="W26" s="58">
        <f t="shared" si="5"/>
        <v>0</v>
      </c>
      <c r="X26" s="58">
        <f t="shared" si="5"/>
        <v>0</v>
      </c>
      <c r="Y26" s="58">
        <f t="shared" si="5"/>
        <v>0</v>
      </c>
      <c r="Z26" s="58">
        <f t="shared" si="5"/>
        <v>0</v>
      </c>
      <c r="AA26" s="58">
        <f t="shared" si="5"/>
        <v>0</v>
      </c>
      <c r="AB26" s="58">
        <f t="shared" si="5"/>
        <v>0</v>
      </c>
    </row>
    <row r="27" spans="1:28">
      <c r="A27" s="52" t="s">
        <v>12</v>
      </c>
      <c r="B27" s="53">
        <v>9</v>
      </c>
      <c r="C27" s="54">
        <v>37.948717948717949</v>
      </c>
      <c r="D27" s="55"/>
      <c r="E27" s="56">
        <f>E13</f>
        <v>1</v>
      </c>
      <c r="F27" s="57">
        <v>4.8</v>
      </c>
      <c r="G27" s="58">
        <f t="shared" ref="G27:G28" si="6">G13</f>
        <v>0</v>
      </c>
      <c r="H27" s="58">
        <f t="shared" ref="H27:AB27" si="7">H13</f>
        <v>0</v>
      </c>
      <c r="I27" s="58">
        <f t="shared" si="7"/>
        <v>0</v>
      </c>
      <c r="J27" s="58">
        <f t="shared" si="7"/>
        <v>0</v>
      </c>
      <c r="K27" s="58">
        <f t="shared" si="7"/>
        <v>0</v>
      </c>
      <c r="L27" s="58">
        <f t="shared" si="7"/>
        <v>8</v>
      </c>
      <c r="M27" s="58">
        <f t="shared" si="7"/>
        <v>-3</v>
      </c>
      <c r="N27" s="58">
        <f t="shared" si="7"/>
        <v>0</v>
      </c>
      <c r="O27" s="58">
        <f t="shared" si="7"/>
        <v>0</v>
      </c>
      <c r="P27" s="58">
        <f t="shared" si="7"/>
        <v>0</v>
      </c>
      <c r="Q27" s="58">
        <f t="shared" si="7"/>
        <v>0</v>
      </c>
      <c r="R27" s="58">
        <f t="shared" si="7"/>
        <v>0</v>
      </c>
      <c r="S27" s="58">
        <f t="shared" si="7"/>
        <v>0</v>
      </c>
      <c r="T27" s="58">
        <f t="shared" si="7"/>
        <v>0</v>
      </c>
      <c r="U27" s="58">
        <f t="shared" si="7"/>
        <v>0</v>
      </c>
      <c r="V27" s="58">
        <f t="shared" si="7"/>
        <v>0</v>
      </c>
      <c r="W27" s="58">
        <f t="shared" si="7"/>
        <v>0</v>
      </c>
      <c r="X27" s="58">
        <f t="shared" si="7"/>
        <v>0</v>
      </c>
      <c r="Y27" s="58">
        <f t="shared" si="7"/>
        <v>0</v>
      </c>
      <c r="Z27" s="58">
        <f t="shared" si="7"/>
        <v>0</v>
      </c>
      <c r="AA27" s="58">
        <f t="shared" si="7"/>
        <v>0</v>
      </c>
      <c r="AB27" s="58">
        <f t="shared" si="7"/>
        <v>0</v>
      </c>
    </row>
    <row r="28" spans="1:28">
      <c r="A28" s="52" t="s">
        <v>13</v>
      </c>
      <c r="B28" s="53">
        <v>11</v>
      </c>
      <c r="C28" s="54">
        <v>68.717948717948715</v>
      </c>
      <c r="D28" s="55"/>
      <c r="E28" s="56">
        <f>E14</f>
        <v>0</v>
      </c>
      <c r="F28" s="57">
        <v>-1.5</v>
      </c>
      <c r="G28" s="58">
        <f t="shared" si="6"/>
        <v>0</v>
      </c>
      <c r="H28" s="58">
        <f t="shared" ref="H28:AB28" si="8">H14</f>
        <v>0</v>
      </c>
      <c r="I28" s="58">
        <f t="shared" si="8"/>
        <v>0</v>
      </c>
      <c r="J28" s="58">
        <f t="shared" si="8"/>
        <v>0</v>
      </c>
      <c r="K28" s="58">
        <f t="shared" si="8"/>
        <v>0</v>
      </c>
      <c r="L28" s="58">
        <f t="shared" si="8"/>
        <v>8</v>
      </c>
      <c r="M28" s="58">
        <f t="shared" si="8"/>
        <v>-3</v>
      </c>
      <c r="N28" s="58">
        <f t="shared" si="8"/>
        <v>0</v>
      </c>
      <c r="O28" s="58">
        <f t="shared" si="8"/>
        <v>0</v>
      </c>
      <c r="P28" s="58">
        <f t="shared" si="8"/>
        <v>0</v>
      </c>
      <c r="Q28" s="58">
        <f t="shared" si="8"/>
        <v>0</v>
      </c>
      <c r="R28" s="58">
        <f t="shared" si="8"/>
        <v>0</v>
      </c>
      <c r="S28" s="58">
        <f t="shared" si="8"/>
        <v>0</v>
      </c>
      <c r="T28" s="58">
        <f t="shared" si="8"/>
        <v>0</v>
      </c>
      <c r="U28" s="58">
        <f t="shared" si="8"/>
        <v>0</v>
      </c>
      <c r="V28" s="58">
        <f t="shared" si="8"/>
        <v>0</v>
      </c>
      <c r="W28" s="58">
        <f t="shared" si="8"/>
        <v>0</v>
      </c>
      <c r="X28" s="58">
        <f t="shared" si="8"/>
        <v>0</v>
      </c>
      <c r="Y28" s="58">
        <f t="shared" si="8"/>
        <v>0</v>
      </c>
      <c r="Z28" s="58">
        <f t="shared" si="8"/>
        <v>0</v>
      </c>
      <c r="AA28" s="58">
        <f t="shared" si="8"/>
        <v>0</v>
      </c>
      <c r="AB28" s="58">
        <f t="shared" si="8"/>
        <v>0</v>
      </c>
    </row>
    <row r="29" spans="1:28">
      <c r="A29" s="52" t="s">
        <v>17</v>
      </c>
      <c r="B29" s="53">
        <v>16</v>
      </c>
      <c r="C29" s="54">
        <v>22.564102564102566</v>
      </c>
      <c r="D29" s="55"/>
      <c r="E29" s="56">
        <f>IF(E18=0,1,0)</f>
        <v>1</v>
      </c>
      <c r="F29" s="57">
        <v>-0.9</v>
      </c>
      <c r="G29" s="58">
        <f t="shared" ref="G29" si="9">G18</f>
        <v>0</v>
      </c>
      <c r="H29" s="58">
        <f t="shared" ref="H29:AB29" si="10">H18</f>
        <v>0</v>
      </c>
      <c r="I29" s="58">
        <f t="shared" si="10"/>
        <v>0</v>
      </c>
      <c r="J29" s="58">
        <f t="shared" si="10"/>
        <v>0</v>
      </c>
      <c r="K29" s="58">
        <f t="shared" si="10"/>
        <v>0</v>
      </c>
      <c r="L29" s="58">
        <f t="shared" si="10"/>
        <v>0</v>
      </c>
      <c r="M29" s="58">
        <f t="shared" si="10"/>
        <v>0</v>
      </c>
      <c r="N29" s="58">
        <f t="shared" si="10"/>
        <v>0</v>
      </c>
      <c r="O29" s="58">
        <f t="shared" si="10"/>
        <v>0</v>
      </c>
      <c r="P29" s="58">
        <f t="shared" si="10"/>
        <v>0</v>
      </c>
      <c r="Q29" s="58">
        <f t="shared" si="10"/>
        <v>0</v>
      </c>
      <c r="R29" s="58">
        <f t="shared" si="10"/>
        <v>0</v>
      </c>
      <c r="S29" s="58">
        <f t="shared" si="10"/>
        <v>0</v>
      </c>
      <c r="T29" s="58">
        <f t="shared" si="10"/>
        <v>0</v>
      </c>
      <c r="U29" s="58">
        <f t="shared" si="10"/>
        <v>0</v>
      </c>
      <c r="V29" s="58">
        <f t="shared" si="10"/>
        <v>0</v>
      </c>
      <c r="W29" s="58">
        <f t="shared" si="10"/>
        <v>0</v>
      </c>
      <c r="X29" s="58">
        <f t="shared" si="10"/>
        <v>0</v>
      </c>
      <c r="Y29" s="58">
        <f t="shared" si="10"/>
        <v>0</v>
      </c>
      <c r="Z29" s="58">
        <f t="shared" si="10"/>
        <v>0</v>
      </c>
      <c r="AA29" s="58">
        <f t="shared" si="10"/>
        <v>0</v>
      </c>
      <c r="AB29" s="58">
        <f t="shared" si="10"/>
        <v>0</v>
      </c>
    </row>
    <row r="30" spans="1:28">
      <c r="A30" s="52" t="s">
        <v>21</v>
      </c>
      <c r="B30" s="53">
        <v>21</v>
      </c>
      <c r="C30" s="54">
        <v>37.948717948717949</v>
      </c>
      <c r="D30" s="55"/>
      <c r="E30" s="56">
        <f>IF(E22=0,1,0)</f>
        <v>0</v>
      </c>
      <c r="F30" s="57">
        <v>1.2</v>
      </c>
      <c r="G30" s="58">
        <f t="shared" ref="G30" si="11">G22</f>
        <v>0</v>
      </c>
      <c r="H30" s="58">
        <f t="shared" ref="H30:AB30" si="12">H22</f>
        <v>0</v>
      </c>
      <c r="I30" s="58">
        <f t="shared" si="12"/>
        <v>0</v>
      </c>
      <c r="J30" s="58">
        <f t="shared" si="12"/>
        <v>0</v>
      </c>
      <c r="K30" s="58">
        <f t="shared" si="12"/>
        <v>0</v>
      </c>
      <c r="L30" s="58">
        <f t="shared" si="12"/>
        <v>0</v>
      </c>
      <c r="M30" s="58">
        <f t="shared" si="12"/>
        <v>0</v>
      </c>
      <c r="N30" s="58">
        <f t="shared" si="12"/>
        <v>0</v>
      </c>
      <c r="O30" s="58">
        <f t="shared" si="12"/>
        <v>0</v>
      </c>
      <c r="P30" s="58">
        <f t="shared" si="12"/>
        <v>0</v>
      </c>
      <c r="Q30" s="58">
        <f t="shared" si="12"/>
        <v>0</v>
      </c>
      <c r="R30" s="58">
        <f t="shared" si="12"/>
        <v>0</v>
      </c>
      <c r="S30" s="58">
        <f t="shared" si="12"/>
        <v>0</v>
      </c>
      <c r="T30" s="58">
        <f t="shared" si="12"/>
        <v>0</v>
      </c>
      <c r="U30" s="58">
        <f t="shared" si="12"/>
        <v>0</v>
      </c>
      <c r="V30" s="58">
        <f t="shared" si="12"/>
        <v>0</v>
      </c>
      <c r="W30" s="58">
        <f t="shared" si="12"/>
        <v>0</v>
      </c>
      <c r="X30" s="58">
        <f t="shared" si="12"/>
        <v>0</v>
      </c>
      <c r="Y30" s="58">
        <f t="shared" si="12"/>
        <v>0</v>
      </c>
      <c r="Z30" s="58">
        <f t="shared" si="12"/>
        <v>0</v>
      </c>
      <c r="AA30" s="58">
        <f t="shared" si="12"/>
        <v>0</v>
      </c>
      <c r="AB30" s="58">
        <f t="shared" si="12"/>
        <v>0</v>
      </c>
    </row>
    <row r="31" spans="1:28">
      <c r="A31" s="6"/>
      <c r="B31" s="7"/>
      <c r="C31" s="6"/>
      <c r="D31" s="8"/>
      <c r="E31" s="6"/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28">
      <c r="A32" s="6"/>
      <c r="B32" s="7"/>
      <c r="C32" s="6"/>
      <c r="D32" s="8"/>
      <c r="E32" s="6"/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1:28">
      <c r="A33" s="6"/>
      <c r="B33" s="7"/>
      <c r="C33" s="6"/>
      <c r="D33" s="8"/>
      <c r="E33" s="6"/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</row>
    <row r="34" spans="1:28">
      <c r="A34" s="6"/>
      <c r="B34" s="5"/>
      <c r="C34" s="9"/>
      <c r="D34" s="4"/>
      <c r="E34" s="9"/>
      <c r="F34" s="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</row>
    <row r="35" spans="1:28">
      <c r="A35" s="13">
        <v>-50.7</v>
      </c>
      <c r="B35" s="13">
        <v>50</v>
      </c>
      <c r="C35" s="13">
        <v>50</v>
      </c>
      <c r="D35">
        <v>-49.7</v>
      </c>
      <c r="E35" s="13" t="s">
        <v>39</v>
      </c>
    </row>
    <row r="36" spans="1:28">
      <c r="A36" s="13">
        <v>45.4</v>
      </c>
      <c r="B36" s="13">
        <v>5</v>
      </c>
      <c r="C36" s="13">
        <v>5</v>
      </c>
      <c r="D36">
        <v>-8.6000000000000014</v>
      </c>
      <c r="E36" s="13" t="s">
        <v>41</v>
      </c>
    </row>
    <row r="37" spans="1:28">
      <c r="A37" s="13">
        <v>-44.8</v>
      </c>
      <c r="B37" s="13">
        <v>-5</v>
      </c>
      <c r="C37" s="13">
        <v>-5</v>
      </c>
      <c r="D37">
        <v>-6.7999999999999972</v>
      </c>
      <c r="E37" t="s">
        <v>40</v>
      </c>
    </row>
    <row r="38" spans="1:28">
      <c r="A38" s="13">
        <v>15.1</v>
      </c>
      <c r="B38" s="13">
        <v>15</v>
      </c>
      <c r="C38" s="13">
        <v>15</v>
      </c>
      <c r="D38">
        <v>20.100000000000001</v>
      </c>
      <c r="E38" t="s">
        <v>40</v>
      </c>
    </row>
    <row r="39" spans="1:28">
      <c r="A39" s="13">
        <v>-47.7</v>
      </c>
      <c r="B39" s="13">
        <v>50</v>
      </c>
      <c r="C39" s="13">
        <v>50</v>
      </c>
      <c r="D39">
        <v>-51.7</v>
      </c>
      <c r="E39" t="s">
        <v>41</v>
      </c>
    </row>
    <row r="40" spans="1:28">
      <c r="A40" s="13">
        <v>47.3</v>
      </c>
      <c r="B40" s="13">
        <v>6</v>
      </c>
      <c r="C40" s="13">
        <v>6</v>
      </c>
      <c r="D40">
        <v>-4.7000000000000028</v>
      </c>
      <c r="E40" t="s">
        <v>41</v>
      </c>
    </row>
    <row r="41" spans="1:28">
      <c r="A41" s="13">
        <v>-44.1</v>
      </c>
      <c r="B41" s="13">
        <v>-4</v>
      </c>
      <c r="C41" s="13">
        <v>-4</v>
      </c>
      <c r="D41">
        <v>-8.1000000000000014</v>
      </c>
      <c r="E41" t="s">
        <v>40</v>
      </c>
    </row>
    <row r="42" spans="1:28">
      <c r="A42" s="13">
        <v>19.7</v>
      </c>
      <c r="B42" s="13">
        <v>16</v>
      </c>
      <c r="C42" s="13">
        <v>16</v>
      </c>
      <c r="D42">
        <v>19.7</v>
      </c>
      <c r="E42" t="s">
        <v>40</v>
      </c>
    </row>
    <row r="43" spans="1:28">
      <c r="A43" s="13">
        <v>0</v>
      </c>
      <c r="B43" s="13">
        <v>0</v>
      </c>
      <c r="C43" s="13">
        <v>0</v>
      </c>
      <c r="D43">
        <v>0</v>
      </c>
      <c r="E43" t="s">
        <v>40</v>
      </c>
    </row>
    <row r="44" spans="1:28">
      <c r="A44" s="13">
        <v>-15</v>
      </c>
      <c r="B44" s="13">
        <v>60</v>
      </c>
      <c r="C44" s="13">
        <v>60</v>
      </c>
      <c r="D44">
        <v>-75</v>
      </c>
      <c r="E44" t="s">
        <v>39</v>
      </c>
    </row>
    <row r="45" spans="1:28">
      <c r="A45" s="13">
        <v>17.100000000000001</v>
      </c>
      <c r="B45" s="13">
        <v>3</v>
      </c>
      <c r="C45" s="13">
        <v>3</v>
      </c>
      <c r="D45">
        <v>17.100000000000001</v>
      </c>
      <c r="E45" t="s">
        <v>42</v>
      </c>
    </row>
    <row r="46" spans="1:28">
      <c r="A46" s="13">
        <v>0</v>
      </c>
      <c r="B46" s="13">
        <v>100</v>
      </c>
      <c r="C46" s="13">
        <v>100</v>
      </c>
      <c r="D46">
        <v>85</v>
      </c>
      <c r="E46" t="s">
        <v>40</v>
      </c>
    </row>
    <row r="47" spans="1:28">
      <c r="A47" s="13">
        <v>0</v>
      </c>
      <c r="B47" s="13">
        <v>100</v>
      </c>
      <c r="C47" s="13">
        <v>100</v>
      </c>
      <c r="D47">
        <v>-90</v>
      </c>
      <c r="E47" t="s">
        <v>41</v>
      </c>
    </row>
    <row r="48" spans="1:28">
      <c r="A48" s="13">
        <v>-15</v>
      </c>
      <c r="B48" s="13">
        <v>65</v>
      </c>
      <c r="C48" s="13">
        <v>65</v>
      </c>
      <c r="D48">
        <v>-75</v>
      </c>
      <c r="E48" t="s">
        <v>41</v>
      </c>
    </row>
    <row r="49" spans="1:5">
      <c r="A49" s="13">
        <v>16.100000000000001</v>
      </c>
      <c r="B49" s="13">
        <v>0</v>
      </c>
      <c r="C49" s="13">
        <v>0</v>
      </c>
      <c r="D49">
        <v>16.100000000000001</v>
      </c>
      <c r="E49" t="s">
        <v>40</v>
      </c>
    </row>
    <row r="50" spans="1:5">
      <c r="A50" s="13">
        <v>0</v>
      </c>
      <c r="B50" s="13">
        <v>100</v>
      </c>
      <c r="C50" s="13">
        <v>100</v>
      </c>
      <c r="D50">
        <v>85</v>
      </c>
      <c r="E50" t="s">
        <v>40</v>
      </c>
    </row>
    <row r="51" spans="1:5">
      <c r="A51" s="13">
        <v>0</v>
      </c>
      <c r="B51" s="13">
        <v>100</v>
      </c>
      <c r="C51" s="13">
        <v>100</v>
      </c>
      <c r="D51">
        <v>-90</v>
      </c>
      <c r="E51" t="s">
        <v>41</v>
      </c>
    </row>
    <row r="52" spans="1:5">
      <c r="A52" s="13">
        <v>44.9</v>
      </c>
      <c r="B52" s="13">
        <v>3.5</v>
      </c>
      <c r="C52" s="13">
        <v>3.5</v>
      </c>
      <c r="D52">
        <v>-9.1000000000000014</v>
      </c>
    </row>
    <row r="53" spans="1:5">
      <c r="A53" s="13">
        <v>-44.5</v>
      </c>
      <c r="B53" s="13">
        <v>-3.5</v>
      </c>
      <c r="C53" s="13">
        <v>-3.5</v>
      </c>
      <c r="D53">
        <v>-6.5</v>
      </c>
    </row>
    <row r="54" spans="1:5">
      <c r="A54" s="13">
        <v>45.7</v>
      </c>
      <c r="B54" s="13">
        <v>5.5</v>
      </c>
      <c r="C54" s="13">
        <v>5.8</v>
      </c>
      <c r="D54">
        <v>-6.2999999999999972</v>
      </c>
    </row>
    <row r="55" spans="1:5">
      <c r="A55" s="13">
        <v>-42.4</v>
      </c>
      <c r="B55" s="13">
        <v>-5</v>
      </c>
      <c r="C55" s="13">
        <v>-5</v>
      </c>
      <c r="D55">
        <v>-6.3999999999999986</v>
      </c>
    </row>
    <row r="56" spans="1:5">
      <c r="A56" s="13">
        <v>15.6</v>
      </c>
      <c r="B56" s="13">
        <v>1</v>
      </c>
      <c r="C56" s="13">
        <v>1</v>
      </c>
      <c r="D56">
        <v>15.6</v>
      </c>
    </row>
    <row r="57" spans="1:5">
      <c r="A57" s="13">
        <v>19.600000000000001</v>
      </c>
      <c r="B57" s="13">
        <v>2.9000000000000004</v>
      </c>
      <c r="C57" s="13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"/>
  <sheetViews>
    <sheetView workbookViewId="0">
      <selection activeCell="AF7" sqref="AF7"/>
    </sheetView>
  </sheetViews>
  <sheetFormatPr defaultRowHeight="13"/>
  <cols>
    <col min="1" max="7" width="8.7265625" style="70"/>
  </cols>
  <sheetData>
    <row r="1" spans="2:7" ht="13.5" thickBot="1"/>
    <row r="2" spans="2:7" ht="13.5" thickBot="1">
      <c r="B2" s="71" t="s">
        <v>90</v>
      </c>
      <c r="C2" s="72"/>
      <c r="E2" s="73" t="s">
        <v>91</v>
      </c>
      <c r="F2" s="74"/>
      <c r="G2" s="75"/>
    </row>
    <row r="3" spans="2:7">
      <c r="B3" s="73" t="s">
        <v>23</v>
      </c>
      <c r="C3" s="76">
        <v>5</v>
      </c>
      <c r="E3" s="77" t="s">
        <v>29</v>
      </c>
      <c r="G3" s="78" t="s">
        <v>30</v>
      </c>
    </row>
    <row r="4" spans="2:7" ht="13.5" thickBot="1">
      <c r="B4" s="79" t="s">
        <v>24</v>
      </c>
      <c r="C4" s="80">
        <v>115200</v>
      </c>
      <c r="E4" s="81">
        <v>10</v>
      </c>
      <c r="F4" s="82" t="s">
        <v>92</v>
      </c>
      <c r="G4" s="83"/>
    </row>
    <row r="5" spans="2:7">
      <c r="B5" s="79" t="s">
        <v>25</v>
      </c>
      <c r="C5" s="80" t="s">
        <v>28</v>
      </c>
      <c r="E5" s="84" t="s">
        <v>31</v>
      </c>
      <c r="F5" s="82" t="s">
        <v>93</v>
      </c>
      <c r="G5" s="85"/>
    </row>
    <row r="6" spans="2:7" ht="13.5" thickBot="1">
      <c r="B6" s="79" t="s">
        <v>26</v>
      </c>
      <c r="C6" s="80">
        <v>8</v>
      </c>
      <c r="E6" s="81">
        <v>1</v>
      </c>
      <c r="F6" s="82" t="s">
        <v>94</v>
      </c>
      <c r="G6" s="85"/>
    </row>
    <row r="7" spans="2:7" ht="13.5" thickBot="1">
      <c r="B7" s="86" t="s">
        <v>27</v>
      </c>
      <c r="C7" s="87">
        <v>1</v>
      </c>
      <c r="F7" s="85">
        <v>0</v>
      </c>
      <c r="G7" s="85"/>
    </row>
    <row r="8" spans="2:7">
      <c r="F8" s="85">
        <v>1</v>
      </c>
      <c r="G8" s="85"/>
    </row>
    <row r="9" spans="2:7">
      <c r="F9" s="85">
        <v>6</v>
      </c>
      <c r="G9" s="85"/>
    </row>
    <row r="10" spans="2:7">
      <c r="F10" s="85">
        <v>0</v>
      </c>
      <c r="G10" s="85"/>
    </row>
    <row r="11" spans="2:7">
      <c r="F11" s="85">
        <v>3</v>
      </c>
      <c r="G11" s="85"/>
    </row>
    <row r="12" spans="2:7">
      <c r="F12" s="85">
        <v>40</v>
      </c>
      <c r="G12" s="85"/>
    </row>
    <row r="13" spans="2:7">
      <c r="F13" s="88">
        <v>0</v>
      </c>
    </row>
    <row r="14" spans="2:7">
      <c r="F14" s="88">
        <v>1</v>
      </c>
    </row>
    <row r="15" spans="2:7">
      <c r="F15" s="70" t="s">
        <v>95</v>
      </c>
    </row>
    <row r="16" spans="2:7">
      <c r="F16" s="70">
        <v>66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69" t="s">
        <v>84</v>
      </c>
    </row>
    <row r="3" spans="4:4">
      <c r="D3" s="69" t="s">
        <v>85</v>
      </c>
    </row>
    <row r="4" spans="4:4">
      <c r="D4" s="69" t="s">
        <v>86</v>
      </c>
    </row>
    <row r="5" spans="4:4">
      <c r="D5" s="69" t="s">
        <v>87</v>
      </c>
    </row>
    <row r="6" spans="4:4">
      <c r="D6" s="69" t="s">
        <v>88</v>
      </c>
    </row>
    <row r="7" spans="4:4">
      <c r="D7" s="69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dynamixel</vt:lpstr>
      <vt:lpstr>dynamixel_wake_b</vt:lpstr>
      <vt:lpstr>dynamixel_wake_f</vt:lpstr>
      <vt:lpstr>dynamixel_atk</vt:lpstr>
      <vt:lpstr>dynamixel_walk</vt:lpstr>
      <vt:lpstr>Walk</vt:lpstr>
      <vt:lpstr>Atk_R_low</vt:lpstr>
      <vt:lpstr>Atk_R_high</vt:lpstr>
      <vt:lpstr>Atk_B</vt:lpstr>
      <vt:lpstr>Atk_F</vt:lpstr>
      <vt:lpstr>Atk_L_low</vt:lpstr>
      <vt:lpstr>Atk_L_high</vt:lpstr>
      <vt:lpstr>WakeF</vt:lpstr>
      <vt:lpstr>WakeB</vt:lpstr>
      <vt:lpstr>Back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2024-09-16T04:52:37Z</dcterms:modified>
</cp:coreProperties>
</file>