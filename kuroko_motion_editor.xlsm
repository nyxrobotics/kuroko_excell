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omments20.xml" ContentType="application/vnd.openxmlformats-officedocument.spreadsheetml.comment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 activeTab="4"/>
  </bookViews>
  <sheets>
    <sheet name="dynamixel" sheetId="35" r:id="rId1"/>
    <sheet name="dynamixel_atk" sheetId="39" r:id="rId2"/>
    <sheet name="dynamixel_wake_b" sheetId="38" r:id="rId3"/>
    <sheet name="dynamixel_wake_f" sheetId="36" r:id="rId4"/>
    <sheet name="dynamixel_walk" sheetId="37" r:id="rId5"/>
    <sheet name="Walk" sheetId="23" r:id="rId6"/>
    <sheet name="Atk_R_low" sheetId="27" r:id="rId7"/>
    <sheet name="Atk_R_high" sheetId="26" r:id="rId8"/>
    <sheet name="Atk_B" sheetId="31" r:id="rId9"/>
    <sheet name="Atk_F" sheetId="30" r:id="rId10"/>
    <sheet name="Atk_L_low" sheetId="29" r:id="rId11"/>
    <sheet name="Atk_L_high" sheetId="28" r:id="rId12"/>
    <sheet name="WakeF" sheetId="24" r:id="rId13"/>
    <sheet name="WakeB" sheetId="25" r:id="rId14"/>
    <sheet name="Back" sheetId="33" r:id="rId15"/>
    <sheet name="Left" sheetId="13" r:id="rId16"/>
    <sheet name="Right" sheetId="12" r:id="rId17"/>
    <sheet name="LRoll" sheetId="11" r:id="rId18"/>
    <sheet name="RRoll" sheetId="10" r:id="rId19"/>
    <sheet name="COM" sheetId="1" r:id="rId20"/>
    <sheet name="git" sheetId="34" r:id="rId21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8" i="39" l="1"/>
  <c r="G27" i="39"/>
  <c r="G26" i="39"/>
  <c r="G25" i="39"/>
  <c r="G28" i="38"/>
  <c r="G27" i="38"/>
  <c r="G26" i="38"/>
  <c r="G25" i="38"/>
  <c r="G28" i="36"/>
  <c r="G27" i="36"/>
  <c r="G26" i="36"/>
  <c r="G25" i="36"/>
  <c r="E28" i="35"/>
  <c r="E27" i="35"/>
  <c r="E26" i="35"/>
  <c r="E25" i="35"/>
  <c r="E19" i="35"/>
  <c r="E18" i="35"/>
  <c r="E17" i="35"/>
  <c r="E16" i="35"/>
  <c r="E15" i="35"/>
  <c r="E14" i="35"/>
  <c r="G28" i="35"/>
  <c r="G27" i="35"/>
  <c r="G26" i="35"/>
  <c r="G25" i="35"/>
  <c r="E28" i="39"/>
  <c r="E27" i="39"/>
  <c r="E26" i="39"/>
  <c r="E25" i="39"/>
  <c r="E19" i="39"/>
  <c r="E18" i="39"/>
  <c r="E17" i="39"/>
  <c r="E16" i="39"/>
  <c r="E15" i="39"/>
  <c r="E14" i="39"/>
  <c r="Q6" i="39"/>
  <c r="P6" i="39"/>
  <c r="O6" i="39"/>
  <c r="Q5" i="39"/>
  <c r="P5" i="39"/>
  <c r="O5" i="39"/>
  <c r="I4" i="39"/>
  <c r="J4" i="39" s="1"/>
  <c r="K4" i="39" s="1"/>
  <c r="L4" i="39" s="1"/>
  <c r="M4" i="39" s="1"/>
  <c r="N4" i="39" s="1"/>
  <c r="O4" i="39" s="1"/>
  <c r="P4" i="39" l="1"/>
  <c r="Q4" i="39" s="1"/>
  <c r="R4" i="39" s="1"/>
  <c r="S4" i="39" s="1"/>
  <c r="T4" i="39" s="1"/>
  <c r="U4" i="39" s="1"/>
  <c r="V4" i="39" s="1"/>
  <c r="W4" i="39" s="1"/>
  <c r="X4" i="39" s="1"/>
  <c r="Y4" i="39" s="1"/>
  <c r="Z4" i="39" s="1"/>
  <c r="AA4" i="39" s="1"/>
  <c r="AB4" i="39" s="1"/>
  <c r="O5" i="37"/>
  <c r="O15" i="37"/>
  <c r="O13" i="37"/>
  <c r="P13" i="37"/>
  <c r="Q13" i="37"/>
  <c r="O19" i="37"/>
  <c r="O14" i="37" l="1"/>
  <c r="O9" i="37"/>
  <c r="O10" i="37"/>
  <c r="G26" i="37"/>
  <c r="G27" i="37"/>
  <c r="G28" i="37"/>
  <c r="G25" i="37"/>
  <c r="P8" i="37"/>
  <c r="Q8" i="37"/>
  <c r="P9" i="37"/>
  <c r="Q9" i="37"/>
  <c r="P10" i="37"/>
  <c r="Q10" i="37"/>
  <c r="P11" i="37"/>
  <c r="Q11" i="37"/>
  <c r="P12" i="37"/>
  <c r="Q12" i="37"/>
  <c r="O11" i="37"/>
  <c r="O12" i="37"/>
  <c r="O8" i="37"/>
  <c r="Q16" i="37"/>
  <c r="Q17" i="37"/>
  <c r="P19" i="37"/>
  <c r="P20" i="37" l="1"/>
  <c r="Q20" i="37"/>
  <c r="O20" i="37"/>
  <c r="P5" i="37" l="1"/>
  <c r="Q5" i="37"/>
  <c r="P6" i="37"/>
  <c r="Q6" i="37"/>
  <c r="O6" i="37"/>
  <c r="J26" i="36"/>
  <c r="K26" i="36"/>
  <c r="L26" i="36"/>
  <c r="M26" i="36"/>
  <c r="N26" i="36"/>
  <c r="J27" i="36"/>
  <c r="K27" i="36"/>
  <c r="L27" i="36"/>
  <c r="M27" i="36"/>
  <c r="N27" i="36"/>
  <c r="J28" i="36"/>
  <c r="K28" i="36"/>
  <c r="L28" i="36"/>
  <c r="M28" i="36"/>
  <c r="N28" i="36"/>
  <c r="K25" i="36"/>
  <c r="L25" i="36"/>
  <c r="M25" i="36"/>
  <c r="N25" i="36"/>
  <c r="J25" i="36"/>
  <c r="P14" i="37" l="1"/>
  <c r="Q14" i="37"/>
  <c r="P15" i="37"/>
  <c r="Q15" i="37"/>
  <c r="O16" i="37"/>
  <c r="P16" i="37"/>
  <c r="P17" i="37"/>
  <c r="O18" i="37"/>
  <c r="P18" i="37"/>
  <c r="Q18" i="37"/>
  <c r="Q19" i="37"/>
  <c r="P13" i="38"/>
  <c r="K13" i="38"/>
  <c r="L13" i="38"/>
  <c r="M13" i="38"/>
  <c r="M19" i="38" s="1"/>
  <c r="N13" i="38"/>
  <c r="O13" i="38"/>
  <c r="O19" i="38" s="1"/>
  <c r="P19" i="38"/>
  <c r="K19" i="38"/>
  <c r="L19" i="38"/>
  <c r="N19" i="38"/>
  <c r="K15" i="38"/>
  <c r="L15" i="38"/>
  <c r="M15" i="38"/>
  <c r="N15" i="38"/>
  <c r="O15" i="38"/>
  <c r="P15" i="38"/>
  <c r="J19" i="38"/>
  <c r="J15" i="38"/>
  <c r="J13" i="38"/>
  <c r="E28" i="38"/>
  <c r="E27" i="38"/>
  <c r="E26" i="38"/>
  <c r="E25" i="38"/>
  <c r="E19" i="38"/>
  <c r="E18" i="38"/>
  <c r="E17" i="38"/>
  <c r="E16" i="38"/>
  <c r="E15" i="38"/>
  <c r="E14" i="38"/>
  <c r="I4" i="38"/>
  <c r="J4" i="38" s="1"/>
  <c r="K4" i="38" s="1"/>
  <c r="L4" i="38" s="1"/>
  <c r="M4" i="38" s="1"/>
  <c r="N4" i="38" s="1"/>
  <c r="O4" i="38" s="1"/>
  <c r="P4" i="38" s="1"/>
  <c r="Q4" i="38" s="1"/>
  <c r="R4" i="38" s="1"/>
  <c r="S4" i="38" s="1"/>
  <c r="T4" i="38" s="1"/>
  <c r="U4" i="38" s="1"/>
  <c r="V4" i="38" s="1"/>
  <c r="W4" i="38" s="1"/>
  <c r="X4" i="38" s="1"/>
  <c r="Y4" i="38" s="1"/>
  <c r="Z4" i="38" s="1"/>
  <c r="AA4" i="38" s="1"/>
  <c r="AB4" i="38" s="1"/>
  <c r="O17" i="37" l="1"/>
  <c r="E28" i="37"/>
  <c r="E27" i="37"/>
  <c r="E26" i="37"/>
  <c r="E25" i="37"/>
  <c r="E19" i="37"/>
  <c r="E18" i="37"/>
  <c r="E17" i="37"/>
  <c r="E16" i="37"/>
  <c r="E15" i="37"/>
  <c r="E14" i="37"/>
  <c r="I4" i="37"/>
  <c r="J4" i="37" s="1"/>
  <c r="K4" i="37" s="1"/>
  <c r="L4" i="37" s="1"/>
  <c r="M4" i="37" s="1"/>
  <c r="N4" i="37" s="1"/>
  <c r="O4" i="37" s="1"/>
  <c r="P4" i="37" s="1"/>
  <c r="Q4" i="37" s="1"/>
  <c r="R4" i="37" s="1"/>
  <c r="S4" i="37" s="1"/>
  <c r="T4" i="37" s="1"/>
  <c r="U4" i="37" s="1"/>
  <c r="V4" i="37" s="1"/>
  <c r="W4" i="37" s="1"/>
  <c r="X4" i="37" s="1"/>
  <c r="Y4" i="37" s="1"/>
  <c r="Z4" i="37" s="1"/>
  <c r="AA4" i="37" s="1"/>
  <c r="AB4" i="37" s="1"/>
  <c r="E25" i="36"/>
  <c r="E28" i="36"/>
  <c r="E27" i="36"/>
  <c r="E26" i="36"/>
  <c r="E19" i="36"/>
  <c r="E18" i="36"/>
  <c r="E17" i="36"/>
  <c r="E16" i="36"/>
  <c r="E15" i="36"/>
  <c r="E14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0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<sst xmlns="http://schemas.openxmlformats.org/spreadsheetml/2006/main" count="1394" uniqueCount="124">
  <si>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</si>
  <si>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</si>
  <si>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</si>
  <si>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</si>
  <si>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</si>
  <si>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</si>
  <si>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</si>
  <si>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</si>
  <si>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</si>
  <si>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</si>
  <si>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</si>
  <si>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</si>
  <si>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</si>
  <si>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</si>
  <si>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</si>
  <si>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</si>
  <si>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</si>
  <si>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</si>
  <si>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</si>
  <si>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</si>
  <si>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</si>
  <si>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</si>
  <si>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</si>
  <si>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</si>
  <si>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</si>
  <si>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</si>
  <si>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</si>
  <si>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</si>
  <si>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</si>
  <si>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</si>
  <si>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</si>
  <si>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</si>
  <si>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</si>
  <si>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</si>
  <si>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</si>
  <si>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</si>
  <si>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</si>
  <si>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</si>
  <si>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</si>
  <si>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</si>
  <si>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</si>
  <si>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</si>
  <si>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</si>
  <si>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</si>
  <si>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</si>
  <si>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</si>
  <si>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</si>
  <si>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</si>
  <si>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</si>
  <si>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</si>
  <si>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</si>
  <si>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</si>
  <si>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</si>
  <si>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</si>
  <si>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</si>
  <si>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</si>
  <si>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</si>
  <si>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</si>
  <si>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</si>
  <si>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</si>
  <si>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</si>
  <si>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</si>
  <si>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</si>
  <si>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</si>
  <si>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</si>
  <si>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</si>
  <si>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</si>
  <si>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</si>
  <si>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</si>
  <si>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</si>
  <si>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</si>
  <si>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</si>
  <si>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</si>
  <si>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</si>
  <si>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</si>
  <si>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</si>
  <si>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</si>
  <si>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</si>
  <si>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</si>
  <si>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</si>
  <si>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</si>
  <si>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</si>
  <si>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</si>
  <si>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</si>
  <si>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</si>
  <si>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</si>
  <si>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</si>
  <si>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</si>
  <si>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</si>
  <si>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</si>
  <si>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</si>
  <si>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</si>
  <si>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</si>
  <si>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</si>
  <si>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</si>
  <si>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</si>
  <si>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chest</t>
    <phoneticPr fontId="2"/>
  </si>
  <si>
    <t>shoulder_r_pitch</t>
    <phoneticPr fontId="2"/>
  </si>
  <si>
    <t>shoulder_r_roll</t>
    <phoneticPr fontId="2"/>
  </si>
  <si>
    <t>elbow_r_front</t>
    <phoneticPr fontId="2"/>
  </si>
  <si>
    <t>elbow_r_rear</t>
    <phoneticPr fontId="2"/>
  </si>
  <si>
    <t>shoulder_l_pitch</t>
    <phoneticPr fontId="2"/>
  </si>
  <si>
    <t>shoulder_l_roll</t>
    <phoneticPr fontId="2"/>
  </si>
  <si>
    <t>elbow_l_front</t>
    <phoneticPr fontId="2"/>
  </si>
  <si>
    <t>elbow_l_rear</t>
    <phoneticPr fontId="2"/>
  </si>
  <si>
    <t>hip_r_roll</t>
    <phoneticPr fontId="2"/>
  </si>
  <si>
    <t>hip_r_pitch</t>
    <phoneticPr fontId="1"/>
  </si>
  <si>
    <t>shin_r_active</t>
    <phoneticPr fontId="2"/>
  </si>
  <si>
    <t>ankle_r_roll</t>
    <phoneticPr fontId="1"/>
  </si>
  <si>
    <t>ankle_r_yaw</t>
    <phoneticPr fontId="2"/>
  </si>
  <si>
    <t>ankle_l_yaw</t>
    <phoneticPr fontId="2"/>
  </si>
  <si>
    <t>ankle_l_roll</t>
    <phoneticPr fontId="1"/>
  </si>
  <si>
    <t>shin_l_active</t>
    <phoneticPr fontId="2"/>
  </si>
  <si>
    <t>thigh_r_active</t>
    <phoneticPr fontId="2"/>
  </si>
  <si>
    <t>thigh_l_active</t>
    <phoneticPr fontId="2"/>
  </si>
  <si>
    <t>hip_l_pitch</t>
    <phoneticPr fontId="1"/>
  </si>
  <si>
    <t>hip_l_roll</t>
    <phoneticPr fontId="2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</si>
  <si>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</si>
  <si>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rPr>
        <sz val="11"/>
        <color theme="1"/>
        <rFont val="ＭＳ ゴシック"/>
        <family val="3"/>
        <charset val="128"/>
      </rPr>
      <t>左右の組</t>
    </r>
    <rPh sb="0" eb="2">
      <t>サユウ</t>
    </rPh>
    <rPh sb="3" eb="4">
      <t>クミ</t>
    </rPh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</si>
  <si>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</si>
  <si>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rPr>
        <sz val="11"/>
        <color rgb="FF0070C0"/>
        <rFont val="ＭＳ ゴシック"/>
        <family val="3"/>
        <charset val="128"/>
      </rPr>
      <t>時間床依存</t>
    </r>
    <rPh sb="0" eb="2">
      <t>ジカン</t>
    </rPh>
    <rPh sb="2" eb="5">
      <t>ユカイゾン</t>
    </rPh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</si>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</sst>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3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theme="1"/>
      <name val="Consolas"/>
      <family val="3"/>
    </font>
    <font>
      <sz val="11"/>
      <color indexed="12"/>
      <name val="Consolas"/>
      <family val="3"/>
    </font>
    <font>
      <sz val="11"/>
      <color theme="3"/>
      <name val="Consolas"/>
      <family val="3"/>
    </font>
    <font>
      <sz val="11"/>
      <color rgb="FF0070C0"/>
      <name val="Consolas"/>
      <family val="3"/>
    </font>
    <font>
      <sz val="8"/>
      <color theme="1"/>
      <name val="Consolas"/>
      <family val="3"/>
    </font>
    <font>
      <sz val="11"/>
      <color theme="4"/>
      <name val="Consolas"/>
      <family val="3"/>
    </font>
    <font>
      <b/>
      <sz val="11"/>
      <color theme="1"/>
      <name val="Consolas"/>
      <family val="3"/>
    </font>
    <font>
      <sz val="10"/>
      <color theme="1"/>
      <name val="Consolas"/>
      <family val="3"/>
    </font>
    <font>
      <sz val="11"/>
      <name val="Consolas"/>
      <family val="3"/>
    </font>
    <font>
      <sz val="11"/>
      <color rgb="FF0000FF"/>
      <name val="Consolas"/>
      <family val="3"/>
    </font>
    <font>
      <b/>
      <sz val="11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4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0" fontId="21" fillId="6" borderId="4" xfId="0" applyFont="1" applyFill="1" applyBorder="1">
      <alignment vertical="center"/>
    </xf>
    <xf numFmtId="176" fontId="21" fillId="17" borderId="4" xfId="0" applyNumberFormat="1" applyFont="1" applyFill="1" applyBorder="1" applyAlignment="1">
      <alignment horizontal="center" vertical="center"/>
    </xf>
    <xf numFmtId="177" fontId="22" fillId="0" borderId="0" xfId="0" applyNumberFormat="1" applyFont="1" applyAlignment="1">
      <alignment horizontal="right" vertical="center"/>
    </xf>
    <xf numFmtId="0" fontId="21" fillId="0" borderId="0" xfId="0" applyFont="1" applyBorder="1">
      <alignment vertical="center"/>
    </xf>
    <xf numFmtId="177" fontId="21" fillId="0" borderId="0" xfId="0" applyNumberFormat="1" applyFont="1" applyAlignment="1">
      <alignment horizontal="right" vertical="center"/>
    </xf>
    <xf numFmtId="0" fontId="21" fillId="0" borderId="0" xfId="0" applyFont="1">
      <alignment vertical="center"/>
    </xf>
    <xf numFmtId="0" fontId="21" fillId="2" borderId="1" xfId="0" applyFont="1" applyFill="1" applyBorder="1">
      <alignment vertical="center"/>
    </xf>
    <xf numFmtId="0" fontId="21" fillId="2" borderId="2" xfId="0" applyFont="1" applyFill="1" applyBorder="1">
      <alignment vertical="center"/>
    </xf>
    <xf numFmtId="0" fontId="21" fillId="2" borderId="3" xfId="0" applyFont="1" applyFill="1" applyBorder="1">
      <alignment vertical="center"/>
    </xf>
    <xf numFmtId="178" fontId="23" fillId="16" borderId="4" xfId="0" applyNumberFormat="1" applyFont="1" applyFill="1" applyBorder="1" applyAlignment="1">
      <alignment horizontal="center" vertical="center"/>
    </xf>
    <xf numFmtId="176" fontId="21" fillId="7" borderId="4" xfId="0" applyNumberFormat="1" applyFont="1" applyFill="1" applyBorder="1" applyAlignment="1">
      <alignment horizontal="center" vertical="center"/>
    </xf>
    <xf numFmtId="177" fontId="21" fillId="0" borderId="0" xfId="0" applyNumberFormat="1" applyFont="1" applyBorder="1" applyAlignment="1">
      <alignment horizontal="right" vertical="center"/>
    </xf>
    <xf numFmtId="177" fontId="21" fillId="3" borderId="0" xfId="0" applyNumberFormat="1" applyFont="1" applyFill="1" applyAlignment="1">
      <alignment horizontal="right" vertical="center"/>
    </xf>
    <xf numFmtId="177" fontId="21" fillId="0" borderId="0" xfId="0" applyNumberFormat="1" applyFont="1">
      <alignment vertical="center"/>
    </xf>
    <xf numFmtId="176" fontId="21" fillId="0" borderId="0" xfId="0" applyNumberFormat="1" applyFont="1" applyBorder="1" applyAlignment="1">
      <alignment horizontal="center" vertical="center"/>
    </xf>
    <xf numFmtId="177" fontId="21" fillId="4" borderId="0" xfId="0" applyNumberFormat="1" applyFont="1" applyFill="1" applyAlignment="1">
      <alignment horizontal="right" vertical="center"/>
    </xf>
    <xf numFmtId="177" fontId="24" fillId="0" borderId="0" xfId="0" applyNumberFormat="1" applyFont="1" applyAlignment="1">
      <alignment horizontal="center" vertical="center"/>
    </xf>
    <xf numFmtId="176" fontId="21" fillId="0" borderId="0" xfId="0" applyNumberFormat="1" applyFont="1" applyAlignment="1">
      <alignment horizontal="center" vertical="center"/>
    </xf>
    <xf numFmtId="177" fontId="21" fillId="5" borderId="0" xfId="0" applyNumberFormat="1" applyFont="1" applyFill="1" applyAlignment="1">
      <alignment horizontal="right" vertical="center"/>
    </xf>
    <xf numFmtId="178" fontId="26" fillId="5" borderId="0" xfId="0" applyNumberFormat="1" applyFont="1" applyFill="1" applyAlignment="1">
      <alignment horizontal="center" vertical="center"/>
    </xf>
    <xf numFmtId="177" fontId="21" fillId="6" borderId="0" xfId="0" applyNumberFormat="1" applyFont="1" applyFill="1" applyAlignment="1">
      <alignment horizontal="right" vertical="center"/>
    </xf>
    <xf numFmtId="178" fontId="21" fillId="0" borderId="0" xfId="0" applyNumberFormat="1" applyFont="1" applyAlignment="1">
      <alignment horizontal="center" vertical="center"/>
    </xf>
    <xf numFmtId="177" fontId="21" fillId="8" borderId="0" xfId="0" applyNumberFormat="1" applyFont="1" applyFill="1" applyAlignment="1">
      <alignment horizontal="right" vertical="center"/>
    </xf>
    <xf numFmtId="177" fontId="21" fillId="0" borderId="4" xfId="0" applyNumberFormat="1" applyFont="1" applyBorder="1" applyAlignment="1">
      <alignment horizontal="right" vertical="center"/>
    </xf>
    <xf numFmtId="176" fontId="21" fillId="0" borderId="4" xfId="0" applyNumberFormat="1" applyFont="1" applyBorder="1" applyAlignment="1">
      <alignment horizontal="center" vertical="center"/>
    </xf>
    <xf numFmtId="0" fontId="21" fillId="9" borderId="4" xfId="0" applyFont="1" applyFill="1" applyBorder="1">
      <alignment vertical="center"/>
    </xf>
    <xf numFmtId="0" fontId="27" fillId="12" borderId="4" xfId="0" applyFont="1" applyFill="1" applyBorder="1" applyAlignment="1">
      <alignment horizontal="center" vertical="center"/>
    </xf>
    <xf numFmtId="177" fontId="27" fillId="14" borderId="4" xfId="0" applyNumberFormat="1" applyFont="1" applyFill="1" applyBorder="1" applyAlignment="1">
      <alignment horizontal="center" vertical="center"/>
    </xf>
    <xf numFmtId="177" fontId="21" fillId="7" borderId="4" xfId="0" applyNumberFormat="1" applyFont="1" applyFill="1" applyBorder="1" applyAlignment="1">
      <alignment horizontal="right" vertical="center"/>
    </xf>
    <xf numFmtId="178" fontId="27" fillId="0" borderId="4" xfId="0" applyNumberFormat="1" applyFont="1" applyBorder="1" applyAlignment="1">
      <alignment horizontal="center" vertical="center"/>
    </xf>
    <xf numFmtId="177" fontId="28" fillId="10" borderId="4" xfId="0" applyNumberFormat="1" applyFont="1" applyFill="1" applyBorder="1" applyAlignment="1">
      <alignment horizontal="left" vertical="center"/>
    </xf>
    <xf numFmtId="176" fontId="29" fillId="10" borderId="4" xfId="0" applyNumberFormat="1" applyFont="1" applyFill="1" applyBorder="1" applyAlignment="1">
      <alignment horizontal="center" vertical="center"/>
    </xf>
    <xf numFmtId="177" fontId="30" fillId="10" borderId="4" xfId="0" applyNumberFormat="1" applyFont="1" applyFill="1" applyBorder="1" applyAlignment="1">
      <alignment horizontal="right" vertical="center"/>
    </xf>
    <xf numFmtId="178" fontId="31" fillId="10" borderId="4" xfId="0" applyNumberFormat="1" applyFont="1" applyFill="1" applyBorder="1" applyAlignment="1">
      <alignment horizontal="center" vertical="center"/>
    </xf>
    <xf numFmtId="178" fontId="29" fillId="10" borderId="4" xfId="0" applyNumberFormat="1" applyFont="1" applyFill="1" applyBorder="1" applyAlignment="1">
      <alignment horizontal="center" vertical="center"/>
    </xf>
    <xf numFmtId="177" fontId="29" fillId="10" borderId="4" xfId="0" applyNumberFormat="1" applyFont="1" applyFill="1" applyBorder="1" applyAlignment="1">
      <alignment horizontal="right" vertical="center"/>
    </xf>
    <xf numFmtId="177" fontId="29" fillId="0" borderId="4" xfId="0" applyNumberFormat="1" applyFont="1" applyFill="1" applyBorder="1" applyAlignment="1">
      <alignment horizontal="right" vertical="center"/>
    </xf>
    <xf numFmtId="177" fontId="29" fillId="12" borderId="4" xfId="0" applyNumberFormat="1" applyFont="1" applyFill="1" applyBorder="1" applyAlignment="1">
      <alignment horizontal="right" vertical="center"/>
    </xf>
    <xf numFmtId="176" fontId="29" fillId="10" borderId="4" xfId="0" quotePrefix="1" applyNumberFormat="1" applyFont="1" applyFill="1" applyBorder="1" applyAlignment="1">
      <alignment horizontal="center" vertical="center"/>
    </xf>
    <xf numFmtId="177" fontId="28" fillId="11" borderId="4" xfId="0" applyNumberFormat="1" applyFont="1" applyFill="1" applyBorder="1" applyAlignment="1">
      <alignment horizontal="left" vertical="center"/>
    </xf>
    <xf numFmtId="176" fontId="29" fillId="11" borderId="4" xfId="0" applyNumberFormat="1" applyFont="1" applyFill="1" applyBorder="1" applyAlignment="1">
      <alignment horizontal="center" vertical="center"/>
    </xf>
    <xf numFmtId="177" fontId="30" fillId="11" borderId="4" xfId="0" applyNumberFormat="1" applyFont="1" applyFill="1" applyBorder="1" applyAlignment="1">
      <alignment horizontal="right" vertical="center"/>
    </xf>
    <xf numFmtId="178" fontId="31" fillId="11" borderId="4" xfId="0" applyNumberFormat="1" applyFont="1" applyFill="1" applyBorder="1" applyAlignment="1">
      <alignment horizontal="center" vertical="center"/>
    </xf>
    <xf numFmtId="178" fontId="26" fillId="11" borderId="4" xfId="0" applyNumberFormat="1" applyFont="1" applyFill="1" applyBorder="1" applyAlignment="1">
      <alignment horizontal="center" vertical="center"/>
    </xf>
    <xf numFmtId="177" fontId="29" fillId="11" borderId="4" xfId="0" applyNumberFormat="1" applyFont="1" applyFill="1" applyBorder="1" applyAlignment="1">
      <alignment horizontal="right" vertical="center"/>
    </xf>
    <xf numFmtId="0" fontId="21" fillId="11" borderId="0" xfId="0" applyFont="1" applyFill="1">
      <alignment vertical="center"/>
    </xf>
    <xf numFmtId="176" fontId="29" fillId="11" borderId="4" xfId="0" quotePrefix="1" applyNumberFormat="1" applyFont="1" applyFill="1" applyBorder="1" applyAlignment="1">
      <alignment horizontal="center" vertical="center"/>
    </xf>
    <xf numFmtId="177" fontId="28" fillId="12" borderId="4" xfId="0" applyNumberFormat="1" applyFont="1" applyFill="1" applyBorder="1" applyAlignment="1">
      <alignment horizontal="left" vertical="center"/>
    </xf>
    <xf numFmtId="176" fontId="29" fillId="12" borderId="4" xfId="0" applyNumberFormat="1" applyFont="1" applyFill="1" applyBorder="1" applyAlignment="1">
      <alignment horizontal="center" vertical="center"/>
    </xf>
    <xf numFmtId="177" fontId="30" fillId="12" borderId="4" xfId="0" applyNumberFormat="1" applyFont="1" applyFill="1" applyBorder="1" applyAlignment="1">
      <alignment horizontal="right" vertical="center"/>
    </xf>
    <xf numFmtId="178" fontId="31" fillId="12" borderId="4" xfId="0" applyNumberFormat="1" applyFont="1" applyFill="1" applyBorder="1" applyAlignment="1">
      <alignment horizontal="center" vertical="center"/>
    </xf>
    <xf numFmtId="178" fontId="29" fillId="12" borderId="4" xfId="0" applyNumberFormat="1" applyFont="1" applyFill="1" applyBorder="1" applyAlignment="1">
      <alignment horizontal="center" vertical="center"/>
    </xf>
    <xf numFmtId="0" fontId="21" fillId="0" borderId="0" xfId="0" applyFont="1" applyFill="1">
      <alignment vertical="center"/>
    </xf>
    <xf numFmtId="177" fontId="21" fillId="0" borderId="4" xfId="0" applyNumberFormat="1" applyFont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zoomScale="145" zoomScaleNormal="145" workbookViewId="0">
      <selection activeCell="E26" sqref="E26"/>
    </sheetView>
  </sheetViews>
  <sheetFormatPr defaultRowHeight="13"/>
  <cols>
    <col min="1" max="1" width="16.6328125" customWidth="1"/>
    <col min="2" max="28" width="8.6328125" customWidth="1"/>
    <col min="29" max="31" width="6.6328125" customWidth="1"/>
  </cols>
  <sheetData>
    <row r="1" spans="1:28" ht="15" thickBot="1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>
        <v>0</v>
      </c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5">
      <c r="A2" s="101">
        <v>10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5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5">
      <c r="A4" s="96"/>
      <c r="B4" s="109"/>
      <c r="C4" s="96"/>
      <c r="D4" s="96"/>
      <c r="E4" s="96"/>
      <c r="F4" s="96"/>
      <c r="G4" s="110" t="s">
        <v>123</v>
      </c>
      <c r="H4" s="111">
        <v>0</v>
      </c>
      <c r="I4" s="111">
        <f>H4+H5+H6</f>
        <v>5</v>
      </c>
      <c r="J4" s="111">
        <f t="shared" ref="J4:AB4" si="0">I4+I5+I6</f>
        <v>20</v>
      </c>
      <c r="K4" s="111">
        <f t="shared" si="0"/>
        <v>40</v>
      </c>
      <c r="L4" s="111">
        <f t="shared" si="0"/>
        <v>50</v>
      </c>
      <c r="M4" s="111">
        <f t="shared" si="0"/>
        <v>80</v>
      </c>
      <c r="N4" s="111">
        <f t="shared" si="0"/>
        <v>110</v>
      </c>
      <c r="O4" s="111">
        <f t="shared" si="0"/>
        <v>120</v>
      </c>
      <c r="P4" s="111">
        <f t="shared" si="0"/>
        <v>130</v>
      </c>
      <c r="Q4" s="111">
        <f t="shared" si="0"/>
        <v>140</v>
      </c>
      <c r="R4" s="111">
        <f t="shared" si="0"/>
        <v>150</v>
      </c>
      <c r="S4" s="111">
        <f t="shared" si="0"/>
        <v>160</v>
      </c>
      <c r="T4" s="111">
        <f t="shared" si="0"/>
        <v>170</v>
      </c>
      <c r="U4" s="111">
        <f t="shared" si="0"/>
        <v>180</v>
      </c>
      <c r="V4" s="111">
        <f t="shared" si="0"/>
        <v>182</v>
      </c>
      <c r="W4" s="111">
        <f t="shared" si="0"/>
        <v>184</v>
      </c>
      <c r="X4" s="111">
        <f t="shared" si="0"/>
        <v>209</v>
      </c>
      <c r="Y4" s="111">
        <f t="shared" si="0"/>
        <v>309</v>
      </c>
      <c r="Z4" s="111">
        <f t="shared" si="0"/>
        <v>409</v>
      </c>
      <c r="AA4" s="111">
        <f t="shared" si="0"/>
        <v>509</v>
      </c>
      <c r="AB4" s="111">
        <f t="shared" si="0"/>
        <v>609</v>
      </c>
    </row>
    <row r="5" spans="1:28" ht="14.5">
      <c r="A5" s="96"/>
      <c r="B5" s="109"/>
      <c r="C5" s="96"/>
      <c r="D5" s="96"/>
      <c r="E5" s="97"/>
      <c r="F5" s="96"/>
      <c r="G5" s="112" t="s">
        <v>2</v>
      </c>
      <c r="H5" s="113">
        <v>5</v>
      </c>
      <c r="I5" s="113">
        <v>15</v>
      </c>
      <c r="J5" s="113">
        <v>0</v>
      </c>
      <c r="K5" s="113">
        <v>10</v>
      </c>
      <c r="L5" s="113">
        <v>30</v>
      </c>
      <c r="M5" s="113">
        <v>30</v>
      </c>
      <c r="N5" s="113">
        <v>10</v>
      </c>
      <c r="O5" s="113">
        <v>10</v>
      </c>
      <c r="P5" s="113">
        <v>10</v>
      </c>
      <c r="Q5" s="113">
        <v>10</v>
      </c>
      <c r="R5" s="113">
        <v>10</v>
      </c>
      <c r="S5" s="113">
        <v>10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5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20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5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1</v>
      </c>
      <c r="I7" s="121">
        <v>0</v>
      </c>
      <c r="J7" s="121">
        <v>0</v>
      </c>
      <c r="K7" s="121">
        <v>2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0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ht="14.5">
      <c r="A8" s="122" t="s">
        <v>109</v>
      </c>
      <c r="B8" s="123">
        <v>10</v>
      </c>
      <c r="C8" s="124">
        <v>-0.26</v>
      </c>
      <c r="D8" s="125">
        <v>1</v>
      </c>
      <c r="E8" s="126">
        <v>0</v>
      </c>
      <c r="F8" s="127">
        <v>-2</v>
      </c>
      <c r="G8" s="127">
        <v>0</v>
      </c>
      <c r="H8" s="127">
        <v>0</v>
      </c>
      <c r="I8" s="127">
        <v>0</v>
      </c>
      <c r="J8" s="127">
        <v>0</v>
      </c>
      <c r="K8" s="127">
        <v>0</v>
      </c>
      <c r="L8" s="127">
        <v>0</v>
      </c>
      <c r="M8" s="127">
        <v>0</v>
      </c>
      <c r="N8" s="127">
        <v>0</v>
      </c>
      <c r="O8" s="127">
        <v>0</v>
      </c>
      <c r="P8" s="127">
        <v>0</v>
      </c>
      <c r="Q8" s="127">
        <v>0</v>
      </c>
      <c r="R8" s="127">
        <v>0</v>
      </c>
      <c r="S8" s="127">
        <v>0</v>
      </c>
      <c r="T8" s="127">
        <v>0</v>
      </c>
      <c r="U8" s="127">
        <v>0</v>
      </c>
      <c r="V8" s="127">
        <v>0</v>
      </c>
      <c r="W8" s="127">
        <v>0</v>
      </c>
      <c r="X8" s="127">
        <v>0</v>
      </c>
      <c r="Y8" s="127">
        <v>0</v>
      </c>
      <c r="Z8" s="127">
        <v>0</v>
      </c>
      <c r="AA8" s="127">
        <v>0</v>
      </c>
      <c r="AB8" s="127">
        <v>0</v>
      </c>
    </row>
    <row r="9" spans="1:28" ht="14.5">
      <c r="A9" s="122" t="s">
        <v>108</v>
      </c>
      <c r="B9" s="123">
        <v>9</v>
      </c>
      <c r="C9" s="124">
        <v>-0.18</v>
      </c>
      <c r="D9" s="125">
        <v>2</v>
      </c>
      <c r="E9" s="126">
        <v>1</v>
      </c>
      <c r="F9" s="127">
        <v>-9.5</v>
      </c>
      <c r="G9" s="127">
        <v>0.5</v>
      </c>
      <c r="H9" s="127">
        <v>0</v>
      </c>
      <c r="I9" s="127">
        <v>0</v>
      </c>
      <c r="J9" s="127">
        <v>0</v>
      </c>
      <c r="K9" s="127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5">
      <c r="A10" s="122" t="s">
        <v>107</v>
      </c>
      <c r="B10" s="130">
        <v>8</v>
      </c>
      <c r="C10" s="124">
        <v>4.22</v>
      </c>
      <c r="D10" s="125">
        <v>3</v>
      </c>
      <c r="E10" s="126">
        <v>1</v>
      </c>
      <c r="F10" s="127">
        <v>11</v>
      </c>
      <c r="G10" s="127">
        <v>-1</v>
      </c>
      <c r="H10" s="127">
        <v>0</v>
      </c>
      <c r="I10" s="127">
        <v>-30</v>
      </c>
      <c r="J10" s="127">
        <v>30</v>
      </c>
      <c r="K10" s="127">
        <v>0</v>
      </c>
      <c r="L10" s="127">
        <v>0</v>
      </c>
      <c r="M10" s="127">
        <v>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5">
      <c r="A11" s="122" t="s">
        <v>113</v>
      </c>
      <c r="B11" s="123">
        <v>7</v>
      </c>
      <c r="C11" s="124">
        <v>9.4</v>
      </c>
      <c r="D11" s="125">
        <v>4</v>
      </c>
      <c r="E11" s="126">
        <v>0</v>
      </c>
      <c r="F11" s="127">
        <v>6</v>
      </c>
      <c r="G11" s="127">
        <v>-1</v>
      </c>
      <c r="H11" s="127">
        <v>0</v>
      </c>
      <c r="I11" s="127">
        <v>-35</v>
      </c>
      <c r="J11" s="127">
        <v>30</v>
      </c>
      <c r="K11" s="127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5">
      <c r="A12" s="122" t="s">
        <v>106</v>
      </c>
      <c r="B12" s="123">
        <v>6</v>
      </c>
      <c r="C12" s="124">
        <v>-0.18</v>
      </c>
      <c r="D12" s="125">
        <v>5</v>
      </c>
      <c r="E12" s="126">
        <v>0</v>
      </c>
      <c r="F12" s="127">
        <v>5</v>
      </c>
      <c r="G12" s="127">
        <v>-1</v>
      </c>
      <c r="H12" s="127">
        <v>0</v>
      </c>
      <c r="I12" s="127">
        <v>0</v>
      </c>
      <c r="J12" s="127">
        <v>0</v>
      </c>
      <c r="K12" s="127">
        <v>0</v>
      </c>
      <c r="L12" s="127">
        <v>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5">
      <c r="A13" s="122" t="s">
        <v>105</v>
      </c>
      <c r="B13" s="123">
        <v>2</v>
      </c>
      <c r="C13" s="124">
        <v>0.97</v>
      </c>
      <c r="D13" s="125">
        <v>6</v>
      </c>
      <c r="E13" s="126">
        <v>1</v>
      </c>
      <c r="F13" s="127">
        <v>10</v>
      </c>
      <c r="G13" s="127">
        <v>-1</v>
      </c>
      <c r="H13" s="127">
        <v>0</v>
      </c>
      <c r="I13" s="127">
        <v>0</v>
      </c>
      <c r="J13" s="127">
        <v>0</v>
      </c>
      <c r="K13" s="127">
        <v>0</v>
      </c>
      <c r="L13" s="127">
        <v>0</v>
      </c>
      <c r="M13" s="127">
        <v>0</v>
      </c>
      <c r="N13" s="127">
        <v>0</v>
      </c>
      <c r="O13" s="127">
        <v>0</v>
      </c>
      <c r="P13" s="127">
        <v>0</v>
      </c>
      <c r="Q13" s="127">
        <v>0</v>
      </c>
      <c r="R13" s="127">
        <v>0</v>
      </c>
      <c r="S13" s="127">
        <v>0</v>
      </c>
      <c r="T13" s="127">
        <v>0</v>
      </c>
      <c r="U13" s="127">
        <v>0</v>
      </c>
      <c r="V13" s="127">
        <v>0</v>
      </c>
      <c r="W13" s="127">
        <v>0</v>
      </c>
      <c r="X13" s="127">
        <v>0</v>
      </c>
      <c r="Y13" s="127">
        <v>0</v>
      </c>
      <c r="Z13" s="127">
        <v>0</v>
      </c>
      <c r="AA13" s="127">
        <v>0</v>
      </c>
      <c r="AB13" s="127">
        <v>0</v>
      </c>
    </row>
    <row r="14" spans="1:28" s="89" customFormat="1" ht="14.5">
      <c r="A14" s="131" t="s">
        <v>110</v>
      </c>
      <c r="B14" s="132">
        <v>15</v>
      </c>
      <c r="C14" s="133">
        <v>0.18</v>
      </c>
      <c r="D14" s="134">
        <v>1</v>
      </c>
      <c r="E14" s="135">
        <f>IF(E8=0,1,0)</f>
        <v>1</v>
      </c>
      <c r="F14" s="136">
        <v>-2</v>
      </c>
      <c r="G14" s="136">
        <v>0</v>
      </c>
      <c r="H14" s="136">
        <v>0</v>
      </c>
      <c r="I14" s="136">
        <v>0</v>
      </c>
      <c r="J14" s="136">
        <v>0</v>
      </c>
      <c r="K14" s="136">
        <v>0</v>
      </c>
      <c r="L14" s="136">
        <v>0</v>
      </c>
      <c r="M14" s="136">
        <v>0</v>
      </c>
      <c r="N14" s="136">
        <v>0</v>
      </c>
      <c r="O14" s="136">
        <v>0</v>
      </c>
      <c r="P14" s="136">
        <v>0</v>
      </c>
      <c r="Q14" s="136">
        <v>0</v>
      </c>
      <c r="R14" s="136">
        <v>0</v>
      </c>
      <c r="S14" s="136">
        <v>0</v>
      </c>
      <c r="T14" s="136">
        <v>0</v>
      </c>
      <c r="U14" s="136">
        <v>0</v>
      </c>
      <c r="V14" s="136">
        <v>0</v>
      </c>
      <c r="W14" s="136">
        <v>0</v>
      </c>
      <c r="X14" s="136">
        <v>0</v>
      </c>
      <c r="Y14" s="136">
        <v>0</v>
      </c>
      <c r="Z14" s="136">
        <v>0</v>
      </c>
      <c r="AA14" s="136">
        <v>0</v>
      </c>
      <c r="AB14" s="136">
        <v>0</v>
      </c>
    </row>
    <row r="15" spans="1:28" s="89" customFormat="1" ht="14.5">
      <c r="A15" s="131" t="s">
        <v>111</v>
      </c>
      <c r="B15" s="132">
        <v>14</v>
      </c>
      <c r="C15" s="133">
        <v>0.18</v>
      </c>
      <c r="D15" s="134">
        <v>2</v>
      </c>
      <c r="E15" s="135">
        <f t="shared" ref="E15:E18" si="1">IF(E9=0,1,0)</f>
        <v>0</v>
      </c>
      <c r="F15" s="136">
        <v>-9.5</v>
      </c>
      <c r="G15" s="136">
        <v>-0.5</v>
      </c>
      <c r="H15" s="136">
        <v>0</v>
      </c>
      <c r="I15" s="136">
        <v>0</v>
      </c>
      <c r="J15" s="136">
        <v>0</v>
      </c>
      <c r="K15" s="136">
        <v>0</v>
      </c>
      <c r="L15" s="136">
        <v>0</v>
      </c>
      <c r="M15" s="136">
        <v>0</v>
      </c>
      <c r="N15" s="136">
        <v>0</v>
      </c>
      <c r="O15" s="136">
        <v>0</v>
      </c>
      <c r="P15" s="136">
        <v>0</v>
      </c>
      <c r="Q15" s="136">
        <v>0</v>
      </c>
      <c r="R15" s="136">
        <v>0</v>
      </c>
      <c r="S15" s="136">
        <v>0</v>
      </c>
      <c r="T15" s="136">
        <v>0</v>
      </c>
      <c r="U15" s="136">
        <v>0</v>
      </c>
      <c r="V15" s="136">
        <v>0</v>
      </c>
      <c r="W15" s="136">
        <v>0</v>
      </c>
      <c r="X15" s="136">
        <v>0</v>
      </c>
      <c r="Y15" s="136">
        <v>0</v>
      </c>
      <c r="Z15" s="136">
        <v>0</v>
      </c>
      <c r="AA15" s="136">
        <v>0</v>
      </c>
      <c r="AB15" s="136">
        <v>0</v>
      </c>
    </row>
    <row r="16" spans="1:28" s="89" customFormat="1" ht="14.5">
      <c r="A16" s="131" t="s">
        <v>112</v>
      </c>
      <c r="B16" s="138">
        <v>13</v>
      </c>
      <c r="C16" s="133">
        <v>-6.06</v>
      </c>
      <c r="D16" s="134">
        <v>3</v>
      </c>
      <c r="E16" s="135">
        <f t="shared" si="1"/>
        <v>0</v>
      </c>
      <c r="F16" s="136">
        <v>11</v>
      </c>
      <c r="G16" s="136">
        <v>1</v>
      </c>
      <c r="H16" s="136">
        <v>0</v>
      </c>
      <c r="I16" s="136">
        <v>-30</v>
      </c>
      <c r="J16" s="136">
        <v>30</v>
      </c>
      <c r="K16" s="136">
        <v>0</v>
      </c>
      <c r="L16" s="136">
        <v>0</v>
      </c>
      <c r="M16" s="136">
        <v>0</v>
      </c>
      <c r="N16" s="136">
        <v>0</v>
      </c>
      <c r="O16" s="136">
        <v>0</v>
      </c>
      <c r="P16" s="136">
        <v>0</v>
      </c>
      <c r="Q16" s="136">
        <v>0</v>
      </c>
      <c r="R16" s="136">
        <v>0</v>
      </c>
      <c r="S16" s="136">
        <v>0</v>
      </c>
      <c r="T16" s="136">
        <v>0</v>
      </c>
      <c r="U16" s="136">
        <v>0</v>
      </c>
      <c r="V16" s="136">
        <v>0</v>
      </c>
      <c r="W16" s="136">
        <v>0</v>
      </c>
      <c r="X16" s="136">
        <v>0</v>
      </c>
      <c r="Y16" s="136">
        <v>0</v>
      </c>
      <c r="Z16" s="136">
        <v>0</v>
      </c>
      <c r="AA16" s="136">
        <v>0</v>
      </c>
      <c r="AB16" s="136">
        <v>0</v>
      </c>
    </row>
    <row r="17" spans="1:28" s="89" customFormat="1" ht="14.5">
      <c r="A17" s="131" t="s">
        <v>114</v>
      </c>
      <c r="B17" s="132">
        <v>12</v>
      </c>
      <c r="C17" s="133">
        <v>9.0500000000000007</v>
      </c>
      <c r="D17" s="134">
        <v>4</v>
      </c>
      <c r="E17" s="135">
        <f t="shared" si="1"/>
        <v>1</v>
      </c>
      <c r="F17" s="136">
        <v>6</v>
      </c>
      <c r="G17" s="136">
        <v>1</v>
      </c>
      <c r="H17" s="136">
        <v>0</v>
      </c>
      <c r="I17" s="136">
        <v>-35</v>
      </c>
      <c r="J17" s="136">
        <v>30</v>
      </c>
      <c r="K17" s="136">
        <v>0</v>
      </c>
      <c r="L17" s="136">
        <v>0</v>
      </c>
      <c r="M17" s="136">
        <v>0</v>
      </c>
      <c r="N17" s="136">
        <v>0</v>
      </c>
      <c r="O17" s="136">
        <v>0</v>
      </c>
      <c r="P17" s="136">
        <v>0</v>
      </c>
      <c r="Q17" s="136">
        <v>0</v>
      </c>
      <c r="R17" s="136">
        <v>0</v>
      </c>
      <c r="S17" s="136">
        <v>0</v>
      </c>
      <c r="T17" s="136">
        <v>0</v>
      </c>
      <c r="U17" s="136">
        <v>0</v>
      </c>
      <c r="V17" s="136">
        <v>0</v>
      </c>
      <c r="W17" s="136">
        <v>0</v>
      </c>
      <c r="X17" s="136">
        <v>0</v>
      </c>
      <c r="Y17" s="136">
        <v>0</v>
      </c>
      <c r="Z17" s="136">
        <v>0</v>
      </c>
      <c r="AA17" s="136">
        <v>0</v>
      </c>
      <c r="AB17" s="136">
        <v>0</v>
      </c>
    </row>
    <row r="18" spans="1:28" s="89" customFormat="1" ht="14.5">
      <c r="A18" s="131" t="s">
        <v>115</v>
      </c>
      <c r="B18" s="132">
        <v>11</v>
      </c>
      <c r="C18" s="133">
        <v>0.44</v>
      </c>
      <c r="D18" s="134">
        <v>5</v>
      </c>
      <c r="E18" s="135">
        <f t="shared" si="1"/>
        <v>1</v>
      </c>
      <c r="F18" s="136">
        <v>5</v>
      </c>
      <c r="G18" s="136">
        <v>1</v>
      </c>
      <c r="H18" s="136">
        <v>0</v>
      </c>
      <c r="I18" s="136">
        <v>0</v>
      </c>
      <c r="J18" s="136">
        <v>0</v>
      </c>
      <c r="K18" s="136">
        <v>0</v>
      </c>
      <c r="L18" s="136">
        <v>0</v>
      </c>
      <c r="M18" s="136">
        <v>0</v>
      </c>
      <c r="N18" s="136">
        <v>0</v>
      </c>
      <c r="O18" s="136">
        <v>0</v>
      </c>
      <c r="P18" s="136">
        <v>0</v>
      </c>
      <c r="Q18" s="136">
        <v>0</v>
      </c>
      <c r="R18" s="136">
        <v>0</v>
      </c>
      <c r="S18" s="136">
        <v>0</v>
      </c>
      <c r="T18" s="136">
        <v>0</v>
      </c>
      <c r="U18" s="136">
        <v>0</v>
      </c>
      <c r="V18" s="136">
        <v>0</v>
      </c>
      <c r="W18" s="136">
        <v>0</v>
      </c>
      <c r="X18" s="136">
        <v>0</v>
      </c>
      <c r="Y18" s="136">
        <v>0</v>
      </c>
      <c r="Z18" s="136">
        <v>0</v>
      </c>
      <c r="AA18" s="136">
        <v>0</v>
      </c>
      <c r="AB18" s="136">
        <v>0</v>
      </c>
    </row>
    <row r="19" spans="1:28" s="89" customFormat="1" ht="14.5">
      <c r="A19" s="131" t="s">
        <v>116</v>
      </c>
      <c r="B19" s="132">
        <v>3</v>
      </c>
      <c r="C19" s="133">
        <v>0.7</v>
      </c>
      <c r="D19" s="134">
        <v>6</v>
      </c>
      <c r="E19" s="135">
        <f>E13</f>
        <v>1</v>
      </c>
      <c r="F19" s="136">
        <v>10</v>
      </c>
      <c r="G19" s="136">
        <v>1</v>
      </c>
      <c r="H19" s="136">
        <v>0</v>
      </c>
      <c r="I19" s="136">
        <v>0</v>
      </c>
      <c r="J19" s="136">
        <v>0</v>
      </c>
      <c r="K19" s="136">
        <v>0</v>
      </c>
      <c r="L19" s="136">
        <v>0</v>
      </c>
      <c r="M19" s="136">
        <v>0</v>
      </c>
      <c r="N19" s="136">
        <v>0</v>
      </c>
      <c r="O19" s="136">
        <v>0</v>
      </c>
      <c r="P19" s="136">
        <v>0</v>
      </c>
      <c r="Q19" s="136">
        <v>0</v>
      </c>
      <c r="R19" s="136">
        <v>0</v>
      </c>
      <c r="S19" s="136">
        <v>0</v>
      </c>
      <c r="T19" s="136">
        <v>0</v>
      </c>
      <c r="U19" s="136">
        <v>0</v>
      </c>
      <c r="V19" s="136">
        <v>0</v>
      </c>
      <c r="W19" s="136">
        <v>0</v>
      </c>
      <c r="X19" s="136">
        <v>0</v>
      </c>
      <c r="Y19" s="136">
        <v>0</v>
      </c>
      <c r="Z19" s="136">
        <v>0</v>
      </c>
      <c r="AA19" s="136">
        <v>0</v>
      </c>
      <c r="AB19" s="136">
        <v>0</v>
      </c>
    </row>
    <row r="20" spans="1:28" ht="14.5">
      <c r="A20" s="139" t="s">
        <v>96</v>
      </c>
      <c r="B20" s="140">
        <v>1</v>
      </c>
      <c r="C20" s="141">
        <v>-0.09</v>
      </c>
      <c r="D20" s="142" t="s">
        <v>45</v>
      </c>
      <c r="E20" s="143">
        <v>1</v>
      </c>
      <c r="F20" s="129">
        <v>1</v>
      </c>
      <c r="G20" s="129">
        <v>0</v>
      </c>
      <c r="H20" s="129">
        <v>0</v>
      </c>
      <c r="I20" s="129">
        <v>0</v>
      </c>
      <c r="J20" s="129">
        <v>0</v>
      </c>
      <c r="K20" s="129">
        <v>0</v>
      </c>
      <c r="L20" s="129">
        <v>0</v>
      </c>
      <c r="M20" s="129">
        <v>0</v>
      </c>
      <c r="N20" s="129">
        <v>0</v>
      </c>
      <c r="O20" s="129">
        <v>0</v>
      </c>
      <c r="P20" s="129">
        <v>0</v>
      </c>
      <c r="Q20" s="129">
        <v>0</v>
      </c>
      <c r="R20" s="129">
        <v>0</v>
      </c>
      <c r="S20" s="129">
        <v>0</v>
      </c>
      <c r="T20" s="129">
        <v>0</v>
      </c>
      <c r="U20" s="129">
        <v>0</v>
      </c>
      <c r="V20" s="129">
        <v>0</v>
      </c>
      <c r="W20" s="129">
        <v>0</v>
      </c>
      <c r="X20" s="129">
        <v>0</v>
      </c>
      <c r="Y20" s="129">
        <v>0</v>
      </c>
      <c r="Z20" s="129">
        <v>0</v>
      </c>
      <c r="AA20" s="129">
        <v>0</v>
      </c>
      <c r="AB20" s="129">
        <v>0</v>
      </c>
    </row>
    <row r="21" spans="1:28" ht="14.5">
      <c r="A21" s="122" t="s">
        <v>97</v>
      </c>
      <c r="B21" s="130">
        <v>4</v>
      </c>
      <c r="C21" s="124">
        <v>49.13</v>
      </c>
      <c r="D21" s="125">
        <v>5</v>
      </c>
      <c r="E21" s="126">
        <v>0</v>
      </c>
      <c r="F21" s="127">
        <v>50</v>
      </c>
      <c r="G21" s="127">
        <v>0</v>
      </c>
      <c r="H21" s="127">
        <v>0</v>
      </c>
      <c r="I21" s="127">
        <v>0</v>
      </c>
      <c r="J21" s="127">
        <v>0</v>
      </c>
      <c r="K21" s="127">
        <v>0</v>
      </c>
      <c r="L21" s="127">
        <v>0</v>
      </c>
      <c r="M21" s="127">
        <v>0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5">
      <c r="A22" s="122" t="s">
        <v>98</v>
      </c>
      <c r="B22" s="123">
        <v>16</v>
      </c>
      <c r="C22" s="124">
        <v>-0.18</v>
      </c>
      <c r="D22" s="125">
        <v>6</v>
      </c>
      <c r="E22" s="126">
        <v>0</v>
      </c>
      <c r="F22" s="127">
        <v>5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ht="14.5">
      <c r="A23" s="122" t="s">
        <v>99</v>
      </c>
      <c r="B23" s="123">
        <v>18</v>
      </c>
      <c r="C23" s="124">
        <v>129.99</v>
      </c>
      <c r="D23" s="125">
        <v>7</v>
      </c>
      <c r="E23" s="126">
        <v>1</v>
      </c>
      <c r="F23" s="127">
        <v>125</v>
      </c>
      <c r="G23" s="127">
        <v>0</v>
      </c>
      <c r="H23" s="127">
        <v>0</v>
      </c>
      <c r="I23" s="127">
        <v>0</v>
      </c>
      <c r="J23" s="127">
        <v>0</v>
      </c>
      <c r="K23" s="127">
        <v>0</v>
      </c>
      <c r="L23" s="127">
        <v>0</v>
      </c>
      <c r="M23" s="127">
        <v>0</v>
      </c>
      <c r="N23" s="127">
        <v>0</v>
      </c>
      <c r="O23" s="127">
        <v>0</v>
      </c>
      <c r="P23" s="127">
        <v>0</v>
      </c>
      <c r="Q23" s="127">
        <v>0</v>
      </c>
      <c r="R23" s="127">
        <v>0</v>
      </c>
      <c r="S23" s="127">
        <v>0</v>
      </c>
      <c r="T23" s="127">
        <v>0</v>
      </c>
      <c r="U23" s="127">
        <v>0</v>
      </c>
      <c r="V23" s="127">
        <v>0</v>
      </c>
      <c r="W23" s="127">
        <v>0</v>
      </c>
      <c r="X23" s="127">
        <v>0</v>
      </c>
      <c r="Y23" s="127">
        <v>0</v>
      </c>
      <c r="Z23" s="127">
        <v>0</v>
      </c>
      <c r="AA23" s="127">
        <v>0</v>
      </c>
      <c r="AB23" s="127">
        <v>0</v>
      </c>
    </row>
    <row r="24" spans="1:28" ht="14.5">
      <c r="A24" s="122" t="s">
        <v>100</v>
      </c>
      <c r="B24" s="123">
        <v>17</v>
      </c>
      <c r="C24" s="124">
        <v>129.9</v>
      </c>
      <c r="D24" s="125">
        <v>8</v>
      </c>
      <c r="E24" s="126">
        <v>0</v>
      </c>
      <c r="F24" s="127">
        <v>125</v>
      </c>
      <c r="G24" s="127">
        <v>0</v>
      </c>
      <c r="H24" s="127">
        <v>0</v>
      </c>
      <c r="I24" s="127">
        <v>0</v>
      </c>
      <c r="J24" s="127">
        <v>0</v>
      </c>
      <c r="K24" s="127">
        <v>0</v>
      </c>
      <c r="L24" s="127">
        <v>0</v>
      </c>
      <c r="M24" s="127">
        <v>0</v>
      </c>
      <c r="N24" s="127">
        <v>0</v>
      </c>
      <c r="O24" s="127">
        <v>0</v>
      </c>
      <c r="P24" s="127">
        <v>0</v>
      </c>
      <c r="Q24" s="127">
        <v>0</v>
      </c>
      <c r="R24" s="127">
        <v>0</v>
      </c>
      <c r="S24" s="127">
        <v>0</v>
      </c>
      <c r="T24" s="127">
        <v>0</v>
      </c>
      <c r="U24" s="127">
        <v>0</v>
      </c>
      <c r="V24" s="127">
        <v>0</v>
      </c>
      <c r="W24" s="127">
        <v>0</v>
      </c>
      <c r="X24" s="127">
        <v>0</v>
      </c>
      <c r="Y24" s="127">
        <v>0</v>
      </c>
      <c r="Z24" s="127">
        <v>0</v>
      </c>
      <c r="AA24" s="127">
        <v>0</v>
      </c>
      <c r="AB24" s="127">
        <v>0</v>
      </c>
    </row>
    <row r="25" spans="1:28" ht="14.5">
      <c r="A25" s="131" t="s">
        <v>101</v>
      </c>
      <c r="B25" s="132">
        <v>5</v>
      </c>
      <c r="C25" s="133">
        <v>-49.48</v>
      </c>
      <c r="D25" s="134">
        <v>5</v>
      </c>
      <c r="E25" s="135">
        <f t="shared" ref="E25:E28" si="2">IF(E21=0,1,0)</f>
        <v>1</v>
      </c>
      <c r="F25" s="136">
        <v>50</v>
      </c>
      <c r="G25" s="136">
        <f>G21</f>
        <v>0</v>
      </c>
      <c r="H25" s="136">
        <v>0</v>
      </c>
      <c r="I25" s="136">
        <v>0</v>
      </c>
      <c r="J25" s="136">
        <v>0</v>
      </c>
      <c r="K25" s="136">
        <v>0</v>
      </c>
      <c r="L25" s="136">
        <v>0</v>
      </c>
      <c r="M25" s="136">
        <v>0</v>
      </c>
      <c r="N25" s="136">
        <v>0</v>
      </c>
      <c r="O25" s="136">
        <v>0</v>
      </c>
      <c r="P25" s="136">
        <v>0</v>
      </c>
      <c r="Q25" s="136">
        <v>0</v>
      </c>
      <c r="R25" s="136">
        <v>0</v>
      </c>
      <c r="S25" s="136">
        <v>0</v>
      </c>
      <c r="T25" s="136">
        <v>0</v>
      </c>
      <c r="U25" s="136">
        <v>0</v>
      </c>
      <c r="V25" s="136">
        <v>0</v>
      </c>
      <c r="W25" s="136">
        <v>0</v>
      </c>
      <c r="X25" s="136">
        <v>0</v>
      </c>
      <c r="Y25" s="136">
        <v>0</v>
      </c>
      <c r="Z25" s="136">
        <v>0</v>
      </c>
      <c r="AA25" s="136">
        <v>0</v>
      </c>
      <c r="AB25" s="136">
        <v>0</v>
      </c>
    </row>
    <row r="26" spans="1:28" ht="14.5">
      <c r="A26" s="131" t="s">
        <v>102</v>
      </c>
      <c r="B26" s="132">
        <v>19</v>
      </c>
      <c r="C26" s="133">
        <v>-0.18</v>
      </c>
      <c r="D26" s="134">
        <v>6</v>
      </c>
      <c r="E26" s="135">
        <f t="shared" si="2"/>
        <v>1</v>
      </c>
      <c r="F26" s="136">
        <v>5</v>
      </c>
      <c r="G26" s="136">
        <f t="shared" ref="G26:G28" si="3">G22</f>
        <v>0</v>
      </c>
      <c r="H26" s="136">
        <v>0</v>
      </c>
      <c r="I26" s="136">
        <v>0</v>
      </c>
      <c r="J26" s="136">
        <v>0</v>
      </c>
      <c r="K26" s="136">
        <v>0</v>
      </c>
      <c r="L26" s="136">
        <v>0</v>
      </c>
      <c r="M26" s="136">
        <v>0</v>
      </c>
      <c r="N26" s="136">
        <v>0</v>
      </c>
      <c r="O26" s="136">
        <v>0</v>
      </c>
      <c r="P26" s="136">
        <v>0</v>
      </c>
      <c r="Q26" s="136">
        <v>0</v>
      </c>
      <c r="R26" s="136">
        <v>0</v>
      </c>
      <c r="S26" s="136">
        <v>0</v>
      </c>
      <c r="T26" s="136">
        <v>0</v>
      </c>
      <c r="U26" s="136">
        <v>0</v>
      </c>
      <c r="V26" s="136">
        <v>0</v>
      </c>
      <c r="W26" s="136">
        <v>0</v>
      </c>
      <c r="X26" s="136">
        <v>0</v>
      </c>
      <c r="Y26" s="136">
        <v>0</v>
      </c>
      <c r="Z26" s="136">
        <v>0</v>
      </c>
      <c r="AA26" s="136">
        <v>0</v>
      </c>
      <c r="AB26" s="136">
        <v>0</v>
      </c>
    </row>
    <row r="27" spans="1:28" ht="14.5">
      <c r="A27" s="131" t="s">
        <v>103</v>
      </c>
      <c r="B27" s="132">
        <v>21</v>
      </c>
      <c r="C27" s="133">
        <v>130.08000000000001</v>
      </c>
      <c r="D27" s="134">
        <v>7</v>
      </c>
      <c r="E27" s="135">
        <f t="shared" si="2"/>
        <v>0</v>
      </c>
      <c r="F27" s="136">
        <v>125</v>
      </c>
      <c r="G27" s="136">
        <f t="shared" si="3"/>
        <v>0</v>
      </c>
      <c r="H27" s="136">
        <v>0</v>
      </c>
      <c r="I27" s="136">
        <v>0</v>
      </c>
      <c r="J27" s="136">
        <v>0</v>
      </c>
      <c r="K27" s="136">
        <v>0</v>
      </c>
      <c r="L27" s="136">
        <v>0</v>
      </c>
      <c r="M27" s="136">
        <v>0</v>
      </c>
      <c r="N27" s="136">
        <v>0</v>
      </c>
      <c r="O27" s="136">
        <v>0</v>
      </c>
      <c r="P27" s="136">
        <v>0</v>
      </c>
      <c r="Q27" s="136">
        <v>0</v>
      </c>
      <c r="R27" s="136">
        <v>0</v>
      </c>
      <c r="S27" s="136">
        <v>0</v>
      </c>
      <c r="T27" s="136">
        <v>0</v>
      </c>
      <c r="U27" s="136">
        <v>0</v>
      </c>
      <c r="V27" s="136">
        <v>0</v>
      </c>
      <c r="W27" s="136">
        <v>0</v>
      </c>
      <c r="X27" s="136">
        <v>0</v>
      </c>
      <c r="Y27" s="136">
        <v>0</v>
      </c>
      <c r="Z27" s="136">
        <v>0</v>
      </c>
      <c r="AA27" s="136">
        <v>0</v>
      </c>
      <c r="AB27" s="136">
        <v>0</v>
      </c>
    </row>
    <row r="28" spans="1:28" ht="14.5">
      <c r="A28" s="131" t="s">
        <v>104</v>
      </c>
      <c r="B28" s="132">
        <v>20</v>
      </c>
      <c r="C28" s="133">
        <v>129.99</v>
      </c>
      <c r="D28" s="134">
        <v>8</v>
      </c>
      <c r="E28" s="135">
        <f t="shared" si="2"/>
        <v>1</v>
      </c>
      <c r="F28" s="136">
        <v>125</v>
      </c>
      <c r="G28" s="136">
        <f t="shared" si="3"/>
        <v>0</v>
      </c>
      <c r="H28" s="136">
        <v>0</v>
      </c>
      <c r="I28" s="136">
        <v>0</v>
      </c>
      <c r="J28" s="136">
        <v>0</v>
      </c>
      <c r="K28" s="136">
        <v>0</v>
      </c>
      <c r="L28" s="136">
        <v>0</v>
      </c>
      <c r="M28" s="136">
        <v>0</v>
      </c>
      <c r="N28" s="136">
        <v>0</v>
      </c>
      <c r="O28" s="136">
        <v>0</v>
      </c>
      <c r="P28" s="136">
        <v>0</v>
      </c>
      <c r="Q28" s="136">
        <v>0</v>
      </c>
      <c r="R28" s="136">
        <v>0</v>
      </c>
      <c r="S28" s="136">
        <v>0</v>
      </c>
      <c r="T28" s="136">
        <v>0</v>
      </c>
      <c r="U28" s="136">
        <v>0</v>
      </c>
      <c r="V28" s="136">
        <v>0</v>
      </c>
      <c r="W28" s="136">
        <v>0</v>
      </c>
      <c r="X28" s="136">
        <v>0</v>
      </c>
      <c r="Y28" s="136">
        <v>0</v>
      </c>
      <c r="Z28" s="136">
        <v>0</v>
      </c>
      <c r="AA28" s="136">
        <v>0</v>
      </c>
      <c r="AB28" s="136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H8:AB19" name="入力範囲_4_1_1_1_1_1"/>
    <protectedRange sqref="H20:AB20" name="入力範囲_4_1_1_1_1_1_1"/>
    <protectedRange sqref="F8:G19" name="入力範囲_4_1_1_1_1_1_4"/>
    <protectedRange sqref="F20:G20" name="入力範囲_4_1_1_1_1_1_1_1"/>
    <protectedRange sqref="E8:E13" name="入力範囲_4_1_1_1_3_1_1_3"/>
    <protectedRange sqref="E20" name="入力範囲_4_1_1_1_3_1_1_1_1"/>
    <protectedRange sqref="E14:E19 E25:E28" name="入力範囲_4_1_1_1_3_1_1_2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0"/>
  <dimension ref="A1:AB51"/>
  <sheetViews>
    <sheetView zoomScale="145" zoomScaleNormal="145" workbookViewId="0">
      <selection activeCell="P28" sqref="P28"/>
    </sheetView>
  </sheetViews>
  <sheetFormatPr defaultRowHeight="13"/>
  <cols>
    <col min="1" max="1" width="16.6328125" customWidth="1"/>
    <col min="2" max="28" width="8.6328125" customWidth="1"/>
    <col min="29" max="31" width="7.6328125" customWidth="1"/>
  </cols>
  <sheetData>
    <row r="1" spans="1:28" ht="15" thickBot="1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5">
      <c r="A2" s="101">
        <v>5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5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5">
      <c r="A4" s="96"/>
      <c r="B4" s="109"/>
      <c r="C4" s="96"/>
      <c r="D4" s="96"/>
      <c r="E4" s="96"/>
      <c r="F4" s="96"/>
      <c r="G4" s="110" t="s">
        <v>122</v>
      </c>
      <c r="H4" s="111">
        <v>0</v>
      </c>
      <c r="I4" s="111">
        <f>H4+H5+H6</f>
        <v>2</v>
      </c>
      <c r="J4" s="111">
        <f t="shared" ref="J4:AB4" si="0">I4+I5+I6</f>
        <v>12</v>
      </c>
      <c r="K4" s="111">
        <f t="shared" si="0"/>
        <v>32</v>
      </c>
      <c r="L4" s="111">
        <f t="shared" si="0"/>
        <v>72</v>
      </c>
      <c r="M4" s="111">
        <f t="shared" si="0"/>
        <v>102</v>
      </c>
      <c r="N4" s="111">
        <f t="shared" si="0"/>
        <v>112</v>
      </c>
      <c r="O4" s="111">
        <f t="shared" si="0"/>
        <v>142</v>
      </c>
      <c r="P4" s="111">
        <f t="shared" si="0"/>
        <v>172</v>
      </c>
      <c r="Q4" s="111">
        <f t="shared" si="0"/>
        <v>182</v>
      </c>
      <c r="R4" s="111">
        <f t="shared" si="0"/>
        <v>212</v>
      </c>
      <c r="S4" s="111">
        <f t="shared" si="0"/>
        <v>227</v>
      </c>
      <c r="T4" s="111">
        <f t="shared" si="0"/>
        <v>237</v>
      </c>
      <c r="U4" s="111">
        <f t="shared" si="0"/>
        <v>239</v>
      </c>
      <c r="V4" s="111">
        <f t="shared" si="0"/>
        <v>241</v>
      </c>
      <c r="W4" s="111">
        <f t="shared" si="0"/>
        <v>243</v>
      </c>
      <c r="X4" s="111">
        <f t="shared" si="0"/>
        <v>268</v>
      </c>
      <c r="Y4" s="111">
        <f t="shared" si="0"/>
        <v>368</v>
      </c>
      <c r="Z4" s="111">
        <f t="shared" si="0"/>
        <v>468</v>
      </c>
      <c r="AA4" s="111">
        <f t="shared" si="0"/>
        <v>568</v>
      </c>
      <c r="AB4" s="111">
        <f t="shared" si="0"/>
        <v>668</v>
      </c>
    </row>
    <row r="5" spans="1:28" ht="14.5">
      <c r="A5" s="96"/>
      <c r="B5" s="109"/>
      <c r="C5" s="96"/>
      <c r="D5" s="96"/>
      <c r="E5" s="97"/>
      <c r="F5" s="96"/>
      <c r="G5" s="112" t="s">
        <v>2</v>
      </c>
      <c r="H5" s="113">
        <v>2</v>
      </c>
      <c r="I5" s="113">
        <v>10</v>
      </c>
      <c r="J5" s="113">
        <v>20</v>
      </c>
      <c r="K5" s="113">
        <v>10</v>
      </c>
      <c r="L5" s="113">
        <v>10</v>
      </c>
      <c r="M5" s="113">
        <v>10</v>
      </c>
      <c r="N5" s="113">
        <v>30</v>
      </c>
      <c r="O5" s="113">
        <f>L5</f>
        <v>10</v>
      </c>
      <c r="P5" s="113">
        <f t="shared" ref="P5:Q6" si="1">M5</f>
        <v>10</v>
      </c>
      <c r="Q5" s="113">
        <f t="shared" si="1"/>
        <v>30</v>
      </c>
      <c r="R5" s="113">
        <v>15</v>
      </c>
      <c r="S5" s="113">
        <v>10</v>
      </c>
      <c r="T5" s="113">
        <v>2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5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30</v>
      </c>
      <c r="L6" s="113">
        <v>20</v>
      </c>
      <c r="M6" s="113">
        <v>0</v>
      </c>
      <c r="N6" s="113">
        <v>0</v>
      </c>
      <c r="O6" s="113">
        <f>L6</f>
        <v>20</v>
      </c>
      <c r="P6" s="113">
        <f t="shared" si="1"/>
        <v>0</v>
      </c>
      <c r="Q6" s="113">
        <f t="shared" si="1"/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5">
      <c r="A7" s="14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2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0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ht="14.5">
      <c r="A8" s="122" t="s">
        <v>109</v>
      </c>
      <c r="B8" s="123">
        <v>10</v>
      </c>
      <c r="C8" s="124">
        <v>-2.11</v>
      </c>
      <c r="D8" s="125">
        <v>1</v>
      </c>
      <c r="E8" s="126">
        <v>0</v>
      </c>
      <c r="F8" s="127">
        <v>-2</v>
      </c>
      <c r="G8" s="127">
        <v>0</v>
      </c>
      <c r="H8" s="127">
        <v>0</v>
      </c>
      <c r="I8" s="127">
        <v>0</v>
      </c>
      <c r="J8" s="127">
        <v>0</v>
      </c>
      <c r="K8" s="127">
        <v>0</v>
      </c>
      <c r="L8" s="127">
        <v>0</v>
      </c>
      <c r="M8" s="127">
        <v>0</v>
      </c>
      <c r="N8" s="127">
        <v>0</v>
      </c>
      <c r="O8" s="127">
        <v>0</v>
      </c>
      <c r="P8" s="127">
        <v>0</v>
      </c>
      <c r="Q8" s="127">
        <v>0</v>
      </c>
      <c r="R8" s="127">
        <v>0</v>
      </c>
      <c r="S8" s="127">
        <v>0</v>
      </c>
      <c r="T8" s="127">
        <v>0</v>
      </c>
      <c r="U8" s="127">
        <v>0</v>
      </c>
      <c r="V8" s="127">
        <v>0</v>
      </c>
      <c r="W8" s="127">
        <v>0</v>
      </c>
      <c r="X8" s="127">
        <v>0</v>
      </c>
      <c r="Y8" s="127">
        <v>0</v>
      </c>
      <c r="Z8" s="127">
        <v>0</v>
      </c>
      <c r="AA8" s="127">
        <v>0</v>
      </c>
      <c r="AB8" s="127">
        <v>0</v>
      </c>
    </row>
    <row r="9" spans="1:28" ht="14.5">
      <c r="A9" s="122" t="s">
        <v>108</v>
      </c>
      <c r="B9" s="123">
        <v>9</v>
      </c>
      <c r="C9" s="124">
        <v>-31.99</v>
      </c>
      <c r="D9" s="125">
        <v>2</v>
      </c>
      <c r="E9" s="126">
        <v>1</v>
      </c>
      <c r="F9" s="127">
        <v>-9.5</v>
      </c>
      <c r="G9" s="127">
        <v>0.5</v>
      </c>
      <c r="H9" s="127">
        <v>0</v>
      </c>
      <c r="I9" s="127">
        <v>0</v>
      </c>
      <c r="J9" s="127">
        <v>0</v>
      </c>
      <c r="K9" s="127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5">
      <c r="A10" s="122" t="s">
        <v>107</v>
      </c>
      <c r="B10" s="130">
        <v>8</v>
      </c>
      <c r="C10" s="124">
        <v>-29.62</v>
      </c>
      <c r="D10" s="125">
        <v>3</v>
      </c>
      <c r="E10" s="126">
        <v>1</v>
      </c>
      <c r="F10" s="127">
        <v>11</v>
      </c>
      <c r="G10" s="127">
        <v>-1</v>
      </c>
      <c r="H10" s="127">
        <v>0</v>
      </c>
      <c r="I10" s="127">
        <v>0</v>
      </c>
      <c r="J10" s="127">
        <v>0</v>
      </c>
      <c r="K10" s="127">
        <v>0</v>
      </c>
      <c r="L10" s="127">
        <v>0</v>
      </c>
      <c r="M10" s="127">
        <v>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5">
      <c r="A11" s="122" t="s">
        <v>113</v>
      </c>
      <c r="B11" s="123">
        <v>7</v>
      </c>
      <c r="C11" s="124">
        <v>-28.74</v>
      </c>
      <c r="D11" s="125">
        <v>4</v>
      </c>
      <c r="E11" s="126">
        <v>0</v>
      </c>
      <c r="F11" s="127">
        <v>6</v>
      </c>
      <c r="G11" s="127">
        <v>-1</v>
      </c>
      <c r="H11" s="127">
        <v>0</v>
      </c>
      <c r="I11" s="127">
        <v>0</v>
      </c>
      <c r="J11" s="127">
        <v>0</v>
      </c>
      <c r="K11" s="127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5">
      <c r="A12" s="122" t="s">
        <v>106</v>
      </c>
      <c r="B12" s="123">
        <v>6</v>
      </c>
      <c r="C12" s="124">
        <v>1.32</v>
      </c>
      <c r="D12" s="125">
        <v>5</v>
      </c>
      <c r="E12" s="126">
        <v>0</v>
      </c>
      <c r="F12" s="127">
        <v>5</v>
      </c>
      <c r="G12" s="127">
        <v>-1</v>
      </c>
      <c r="H12" s="127">
        <v>0</v>
      </c>
      <c r="I12" s="127">
        <v>0</v>
      </c>
      <c r="J12" s="127">
        <v>0</v>
      </c>
      <c r="K12" s="127">
        <v>0</v>
      </c>
      <c r="L12" s="127">
        <v>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5">
      <c r="A13" s="122" t="s">
        <v>105</v>
      </c>
      <c r="B13" s="123">
        <v>2</v>
      </c>
      <c r="C13" s="124">
        <v>31.99</v>
      </c>
      <c r="D13" s="125">
        <v>6</v>
      </c>
      <c r="E13" s="126">
        <v>1</v>
      </c>
      <c r="F13" s="127">
        <v>10</v>
      </c>
      <c r="G13" s="127">
        <v>-1</v>
      </c>
      <c r="H13" s="127">
        <v>0</v>
      </c>
      <c r="I13" s="127">
        <v>0</v>
      </c>
      <c r="J13" s="127">
        <v>0</v>
      </c>
      <c r="K13" s="127">
        <v>0</v>
      </c>
      <c r="L13" s="127">
        <v>0</v>
      </c>
      <c r="M13" s="127">
        <v>0</v>
      </c>
      <c r="N13" s="127">
        <v>0</v>
      </c>
      <c r="O13" s="127">
        <v>0</v>
      </c>
      <c r="P13" s="127">
        <v>0</v>
      </c>
      <c r="Q13" s="127">
        <v>0</v>
      </c>
      <c r="R13" s="127">
        <v>0</v>
      </c>
      <c r="S13" s="127">
        <v>0</v>
      </c>
      <c r="T13" s="127">
        <v>0</v>
      </c>
      <c r="U13" s="127">
        <v>0</v>
      </c>
      <c r="V13" s="127">
        <v>0</v>
      </c>
      <c r="W13" s="127">
        <v>0</v>
      </c>
      <c r="X13" s="127">
        <v>0</v>
      </c>
      <c r="Y13" s="127">
        <v>0</v>
      </c>
      <c r="Z13" s="127">
        <v>0</v>
      </c>
      <c r="AA13" s="127">
        <v>0</v>
      </c>
      <c r="AB13" s="127">
        <v>0</v>
      </c>
    </row>
    <row r="14" spans="1:28" s="89" customFormat="1" ht="14.5">
      <c r="A14" s="131" t="s">
        <v>110</v>
      </c>
      <c r="B14" s="132">
        <v>15</v>
      </c>
      <c r="C14" s="133">
        <v>-1.93</v>
      </c>
      <c r="D14" s="134">
        <v>1</v>
      </c>
      <c r="E14" s="135">
        <f>IF(E8=0,1,0)</f>
        <v>1</v>
      </c>
      <c r="F14" s="136">
        <v>-2</v>
      </c>
      <c r="G14" s="136">
        <v>0</v>
      </c>
      <c r="H14" s="136">
        <v>0</v>
      </c>
      <c r="I14" s="136">
        <v>0</v>
      </c>
      <c r="J14" s="136">
        <v>0</v>
      </c>
      <c r="K14" s="136">
        <v>0</v>
      </c>
      <c r="L14" s="136">
        <v>0</v>
      </c>
      <c r="M14" s="136">
        <v>0</v>
      </c>
      <c r="N14" s="136">
        <v>0</v>
      </c>
      <c r="O14" s="136">
        <v>0</v>
      </c>
      <c r="P14" s="136">
        <v>0</v>
      </c>
      <c r="Q14" s="136">
        <v>0</v>
      </c>
      <c r="R14" s="136">
        <v>0</v>
      </c>
      <c r="S14" s="136">
        <v>0</v>
      </c>
      <c r="T14" s="136">
        <v>0</v>
      </c>
      <c r="U14" s="136">
        <v>0</v>
      </c>
      <c r="V14" s="136">
        <v>0</v>
      </c>
      <c r="W14" s="136">
        <v>0</v>
      </c>
      <c r="X14" s="136">
        <v>0</v>
      </c>
      <c r="Y14" s="136">
        <v>0</v>
      </c>
      <c r="Z14" s="136">
        <v>0</v>
      </c>
      <c r="AA14" s="136">
        <v>0</v>
      </c>
      <c r="AB14" s="136">
        <v>0</v>
      </c>
    </row>
    <row r="15" spans="1:28" s="89" customFormat="1" ht="14.5">
      <c r="A15" s="131" t="s">
        <v>111</v>
      </c>
      <c r="B15" s="132">
        <v>14</v>
      </c>
      <c r="C15" s="133">
        <v>-33.92</v>
      </c>
      <c r="D15" s="134">
        <v>2</v>
      </c>
      <c r="E15" s="135">
        <f t="shared" ref="E15:E18" si="2">IF(E9=0,1,0)</f>
        <v>0</v>
      </c>
      <c r="F15" s="136">
        <v>-9.5</v>
      </c>
      <c r="G15" s="136">
        <v>-0.5</v>
      </c>
      <c r="H15" s="136">
        <v>0</v>
      </c>
      <c r="I15" s="136">
        <v>0</v>
      </c>
      <c r="J15" s="136">
        <v>0</v>
      </c>
      <c r="K15" s="136">
        <v>0</v>
      </c>
      <c r="L15" s="136">
        <v>0</v>
      </c>
      <c r="M15" s="136">
        <v>0</v>
      </c>
      <c r="N15" s="136">
        <v>0</v>
      </c>
      <c r="O15" s="136">
        <v>0</v>
      </c>
      <c r="P15" s="136">
        <v>0</v>
      </c>
      <c r="Q15" s="136">
        <v>0</v>
      </c>
      <c r="R15" s="136">
        <v>0</v>
      </c>
      <c r="S15" s="136">
        <v>0</v>
      </c>
      <c r="T15" s="136">
        <v>0</v>
      </c>
      <c r="U15" s="136">
        <v>0</v>
      </c>
      <c r="V15" s="136">
        <v>0</v>
      </c>
      <c r="W15" s="136">
        <v>0</v>
      </c>
      <c r="X15" s="136">
        <v>0</v>
      </c>
      <c r="Y15" s="136">
        <v>0</v>
      </c>
      <c r="Z15" s="136">
        <v>0</v>
      </c>
      <c r="AA15" s="136">
        <v>0</v>
      </c>
      <c r="AB15" s="136">
        <v>0</v>
      </c>
    </row>
    <row r="16" spans="1:28" s="89" customFormat="1" ht="14.5">
      <c r="A16" s="131" t="s">
        <v>112</v>
      </c>
      <c r="B16" s="138">
        <v>13</v>
      </c>
      <c r="C16" s="133">
        <v>-28.48</v>
      </c>
      <c r="D16" s="134">
        <v>3</v>
      </c>
      <c r="E16" s="135">
        <f t="shared" si="2"/>
        <v>0</v>
      </c>
      <c r="F16" s="136">
        <v>11</v>
      </c>
      <c r="G16" s="136">
        <v>1</v>
      </c>
      <c r="H16" s="136">
        <v>0</v>
      </c>
      <c r="I16" s="136">
        <v>0</v>
      </c>
      <c r="J16" s="136">
        <v>0</v>
      </c>
      <c r="K16" s="136">
        <v>0</v>
      </c>
      <c r="L16" s="136">
        <v>0</v>
      </c>
      <c r="M16" s="136">
        <v>0</v>
      </c>
      <c r="N16" s="136">
        <v>0</v>
      </c>
      <c r="O16" s="136">
        <v>0</v>
      </c>
      <c r="P16" s="136">
        <v>0</v>
      </c>
      <c r="Q16" s="136">
        <v>0</v>
      </c>
      <c r="R16" s="136">
        <v>0</v>
      </c>
      <c r="S16" s="136">
        <v>0</v>
      </c>
      <c r="T16" s="136">
        <v>0</v>
      </c>
      <c r="U16" s="136">
        <v>0</v>
      </c>
      <c r="V16" s="136">
        <v>0</v>
      </c>
      <c r="W16" s="136">
        <v>0</v>
      </c>
      <c r="X16" s="136">
        <v>0</v>
      </c>
      <c r="Y16" s="136">
        <v>0</v>
      </c>
      <c r="Z16" s="136">
        <v>0</v>
      </c>
      <c r="AA16" s="136">
        <v>0</v>
      </c>
      <c r="AB16" s="136">
        <v>0</v>
      </c>
    </row>
    <row r="17" spans="1:28" s="89" customFormat="1" ht="14.5">
      <c r="A17" s="131" t="s">
        <v>114</v>
      </c>
      <c r="B17" s="132">
        <v>12</v>
      </c>
      <c r="C17" s="133">
        <v>-27.24</v>
      </c>
      <c r="D17" s="134">
        <v>4</v>
      </c>
      <c r="E17" s="135">
        <f t="shared" si="2"/>
        <v>1</v>
      </c>
      <c r="F17" s="136">
        <v>6</v>
      </c>
      <c r="G17" s="136">
        <v>1</v>
      </c>
      <c r="H17" s="136">
        <v>0</v>
      </c>
      <c r="I17" s="136">
        <v>0</v>
      </c>
      <c r="J17" s="136">
        <v>0</v>
      </c>
      <c r="K17" s="136">
        <v>0</v>
      </c>
      <c r="L17" s="136">
        <v>0</v>
      </c>
      <c r="M17" s="136">
        <v>0</v>
      </c>
      <c r="N17" s="136">
        <v>0</v>
      </c>
      <c r="O17" s="136">
        <v>0</v>
      </c>
      <c r="P17" s="136">
        <v>0</v>
      </c>
      <c r="Q17" s="136">
        <v>0</v>
      </c>
      <c r="R17" s="136">
        <v>0</v>
      </c>
      <c r="S17" s="136">
        <v>0</v>
      </c>
      <c r="T17" s="136">
        <v>0</v>
      </c>
      <c r="U17" s="136">
        <v>0</v>
      </c>
      <c r="V17" s="136">
        <v>0</v>
      </c>
      <c r="W17" s="136">
        <v>0</v>
      </c>
      <c r="X17" s="136">
        <v>0</v>
      </c>
      <c r="Y17" s="136">
        <v>0</v>
      </c>
      <c r="Z17" s="136">
        <v>0</v>
      </c>
      <c r="AA17" s="136">
        <v>0</v>
      </c>
      <c r="AB17" s="136">
        <v>0</v>
      </c>
    </row>
    <row r="18" spans="1:28" s="89" customFormat="1" ht="14.5">
      <c r="A18" s="131" t="s">
        <v>115</v>
      </c>
      <c r="B18" s="132">
        <v>11</v>
      </c>
      <c r="C18" s="133">
        <v>3.69</v>
      </c>
      <c r="D18" s="134">
        <v>5</v>
      </c>
      <c r="E18" s="135">
        <f t="shared" si="2"/>
        <v>1</v>
      </c>
      <c r="F18" s="136">
        <v>5</v>
      </c>
      <c r="G18" s="136">
        <v>1</v>
      </c>
      <c r="H18" s="136">
        <v>0</v>
      </c>
      <c r="I18" s="136">
        <v>0</v>
      </c>
      <c r="J18" s="136">
        <v>0</v>
      </c>
      <c r="K18" s="136">
        <v>0</v>
      </c>
      <c r="L18" s="136">
        <v>0</v>
      </c>
      <c r="M18" s="136">
        <v>0</v>
      </c>
      <c r="N18" s="136">
        <v>0</v>
      </c>
      <c r="O18" s="136">
        <v>0</v>
      </c>
      <c r="P18" s="136">
        <v>0</v>
      </c>
      <c r="Q18" s="136">
        <v>0</v>
      </c>
      <c r="R18" s="136">
        <v>0</v>
      </c>
      <c r="S18" s="136">
        <v>0</v>
      </c>
      <c r="T18" s="136">
        <v>0</v>
      </c>
      <c r="U18" s="136">
        <v>0</v>
      </c>
      <c r="V18" s="136">
        <v>0</v>
      </c>
      <c r="W18" s="136">
        <v>0</v>
      </c>
      <c r="X18" s="136">
        <v>0</v>
      </c>
      <c r="Y18" s="136">
        <v>0</v>
      </c>
      <c r="Z18" s="136">
        <v>0</v>
      </c>
      <c r="AA18" s="136">
        <v>0</v>
      </c>
      <c r="AB18" s="136">
        <v>0</v>
      </c>
    </row>
    <row r="19" spans="1:28" s="89" customFormat="1" ht="14.5">
      <c r="A19" s="131" t="s">
        <v>116</v>
      </c>
      <c r="B19" s="132">
        <v>3</v>
      </c>
      <c r="C19" s="133">
        <v>29.71</v>
      </c>
      <c r="D19" s="134">
        <v>6</v>
      </c>
      <c r="E19" s="135">
        <f>E13</f>
        <v>1</v>
      </c>
      <c r="F19" s="136">
        <v>10</v>
      </c>
      <c r="G19" s="136">
        <v>1</v>
      </c>
      <c r="H19" s="136">
        <v>0</v>
      </c>
      <c r="I19" s="136">
        <v>0</v>
      </c>
      <c r="J19" s="136">
        <v>0</v>
      </c>
      <c r="K19" s="136">
        <v>0</v>
      </c>
      <c r="L19" s="136">
        <v>0</v>
      </c>
      <c r="M19" s="136">
        <v>0</v>
      </c>
      <c r="N19" s="136">
        <v>0</v>
      </c>
      <c r="O19" s="136">
        <v>0</v>
      </c>
      <c r="P19" s="136">
        <v>0</v>
      </c>
      <c r="Q19" s="136">
        <v>0</v>
      </c>
      <c r="R19" s="136">
        <v>0</v>
      </c>
      <c r="S19" s="136">
        <v>0</v>
      </c>
      <c r="T19" s="136">
        <v>0</v>
      </c>
      <c r="U19" s="136">
        <v>0</v>
      </c>
      <c r="V19" s="136">
        <v>0</v>
      </c>
      <c r="W19" s="136">
        <v>0</v>
      </c>
      <c r="X19" s="136">
        <v>0</v>
      </c>
      <c r="Y19" s="136">
        <v>0</v>
      </c>
      <c r="Z19" s="136">
        <v>0</v>
      </c>
      <c r="AA19" s="136">
        <v>0</v>
      </c>
      <c r="AB19" s="136">
        <v>0</v>
      </c>
    </row>
    <row r="20" spans="1:28" ht="14.5">
      <c r="A20" s="139" t="s">
        <v>96</v>
      </c>
      <c r="B20" s="140">
        <v>1</v>
      </c>
      <c r="C20" s="141">
        <v>1.93</v>
      </c>
      <c r="D20" s="142" t="s">
        <v>45</v>
      </c>
      <c r="E20" s="143">
        <v>1</v>
      </c>
      <c r="F20" s="129">
        <v>1</v>
      </c>
      <c r="G20" s="129">
        <v>0</v>
      </c>
      <c r="H20" s="129">
        <v>0</v>
      </c>
      <c r="I20" s="129">
        <v>0</v>
      </c>
      <c r="J20" s="129">
        <v>-25</v>
      </c>
      <c r="K20" s="129">
        <v>-90</v>
      </c>
      <c r="L20" s="129">
        <v>-90</v>
      </c>
      <c r="M20" s="129">
        <v>-45</v>
      </c>
      <c r="N20" s="129">
        <v>0</v>
      </c>
      <c r="O20" s="129">
        <v>0</v>
      </c>
      <c r="P20" s="129">
        <v>0</v>
      </c>
      <c r="Q20" s="129">
        <v>0</v>
      </c>
      <c r="R20" s="129">
        <v>0</v>
      </c>
      <c r="S20" s="129">
        <v>0</v>
      </c>
      <c r="T20" s="129">
        <v>0</v>
      </c>
      <c r="U20" s="129">
        <v>0</v>
      </c>
      <c r="V20" s="129">
        <v>0</v>
      </c>
      <c r="W20" s="129">
        <v>0</v>
      </c>
      <c r="X20" s="129">
        <v>0</v>
      </c>
      <c r="Y20" s="129">
        <v>0</v>
      </c>
      <c r="Z20" s="129">
        <v>0</v>
      </c>
      <c r="AA20" s="129">
        <v>0</v>
      </c>
      <c r="AB20" s="129">
        <v>0</v>
      </c>
    </row>
    <row r="21" spans="1:28" ht="14.5">
      <c r="A21" s="122" t="s">
        <v>97</v>
      </c>
      <c r="B21" s="130">
        <v>4</v>
      </c>
      <c r="C21" s="124">
        <v>15.03</v>
      </c>
      <c r="D21" s="125">
        <v>5</v>
      </c>
      <c r="E21" s="126">
        <v>0</v>
      </c>
      <c r="F21" s="127">
        <v>50</v>
      </c>
      <c r="G21" s="127">
        <v>0</v>
      </c>
      <c r="H21" s="127">
        <v>0</v>
      </c>
      <c r="I21" s="127">
        <v>0</v>
      </c>
      <c r="J21" s="127">
        <v>-50</v>
      </c>
      <c r="K21" s="127">
        <v>-50</v>
      </c>
      <c r="L21" s="127">
        <v>-50</v>
      </c>
      <c r="M21" s="127">
        <v>-50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5">
      <c r="A22" s="122" t="s">
        <v>98</v>
      </c>
      <c r="B22" s="123">
        <v>16</v>
      </c>
      <c r="C22" s="124">
        <v>3.69</v>
      </c>
      <c r="D22" s="125">
        <v>6</v>
      </c>
      <c r="E22" s="126">
        <v>0</v>
      </c>
      <c r="F22" s="127">
        <v>5</v>
      </c>
      <c r="G22" s="127">
        <v>0</v>
      </c>
      <c r="H22" s="127">
        <v>0</v>
      </c>
      <c r="I22" s="127">
        <v>0</v>
      </c>
      <c r="J22" s="127">
        <v>90</v>
      </c>
      <c r="K22" s="127">
        <v>90</v>
      </c>
      <c r="L22" s="127">
        <v>90</v>
      </c>
      <c r="M22" s="127">
        <v>90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ht="14.5">
      <c r="A23" s="122" t="s">
        <v>99</v>
      </c>
      <c r="B23" s="123">
        <v>18</v>
      </c>
      <c r="C23" s="124">
        <v>34.450000000000003</v>
      </c>
      <c r="D23" s="125">
        <v>7</v>
      </c>
      <c r="E23" s="126">
        <v>1</v>
      </c>
      <c r="F23" s="127">
        <v>125</v>
      </c>
      <c r="G23" s="127">
        <v>0</v>
      </c>
      <c r="H23" s="127">
        <v>0</v>
      </c>
      <c r="I23" s="127">
        <v>0</v>
      </c>
      <c r="J23" s="127">
        <v>15</v>
      </c>
      <c r="K23" s="127">
        <v>-125</v>
      </c>
      <c r="L23" s="127">
        <v>15</v>
      </c>
      <c r="M23" s="127">
        <v>15</v>
      </c>
      <c r="N23" s="127">
        <v>0</v>
      </c>
      <c r="O23" s="127">
        <v>0</v>
      </c>
      <c r="P23" s="127">
        <v>0</v>
      </c>
      <c r="Q23" s="127">
        <v>0</v>
      </c>
      <c r="R23" s="127">
        <v>0</v>
      </c>
      <c r="S23" s="127">
        <v>0</v>
      </c>
      <c r="T23" s="127">
        <v>0</v>
      </c>
      <c r="U23" s="127">
        <v>0</v>
      </c>
      <c r="V23" s="127">
        <v>0</v>
      </c>
      <c r="W23" s="127">
        <v>0</v>
      </c>
      <c r="X23" s="127">
        <v>0</v>
      </c>
      <c r="Y23" s="127">
        <v>0</v>
      </c>
      <c r="Z23" s="127">
        <v>0</v>
      </c>
      <c r="AA23" s="127">
        <v>0</v>
      </c>
      <c r="AB23" s="127">
        <v>0</v>
      </c>
    </row>
    <row r="24" spans="1:28" ht="14.5">
      <c r="A24" s="122" t="s">
        <v>100</v>
      </c>
      <c r="B24" s="123">
        <v>17</v>
      </c>
      <c r="C24" s="124">
        <v>20.92</v>
      </c>
      <c r="D24" s="125">
        <v>8</v>
      </c>
      <c r="E24" s="126">
        <v>0</v>
      </c>
      <c r="F24" s="127">
        <v>125</v>
      </c>
      <c r="G24" s="127">
        <v>0</v>
      </c>
      <c r="H24" s="127">
        <v>0</v>
      </c>
      <c r="I24" s="127">
        <v>0</v>
      </c>
      <c r="J24" s="127">
        <v>15</v>
      </c>
      <c r="K24" s="127">
        <v>-125</v>
      </c>
      <c r="L24" s="127">
        <v>-265</v>
      </c>
      <c r="M24" s="127">
        <v>15</v>
      </c>
      <c r="N24" s="127">
        <v>0</v>
      </c>
      <c r="O24" s="127">
        <v>0</v>
      </c>
      <c r="P24" s="127">
        <v>0</v>
      </c>
      <c r="Q24" s="127">
        <v>0</v>
      </c>
      <c r="R24" s="127">
        <v>0</v>
      </c>
      <c r="S24" s="127">
        <v>0</v>
      </c>
      <c r="T24" s="127">
        <v>0</v>
      </c>
      <c r="U24" s="127">
        <v>0</v>
      </c>
      <c r="V24" s="127">
        <v>0</v>
      </c>
      <c r="W24" s="127">
        <v>0</v>
      </c>
      <c r="X24" s="127">
        <v>0</v>
      </c>
      <c r="Y24" s="127">
        <v>0</v>
      </c>
      <c r="Z24" s="127">
        <v>0</v>
      </c>
      <c r="AA24" s="127">
        <v>0</v>
      </c>
      <c r="AB24" s="127">
        <v>0</v>
      </c>
    </row>
    <row r="25" spans="1:28" ht="14.5">
      <c r="A25" s="131" t="s">
        <v>101</v>
      </c>
      <c r="B25" s="132">
        <v>5</v>
      </c>
      <c r="C25" s="133">
        <v>0.09</v>
      </c>
      <c r="D25" s="134">
        <v>5</v>
      </c>
      <c r="E25" s="135">
        <f t="shared" ref="E25:E28" si="3">IF(E21=0,1,0)</f>
        <v>1</v>
      </c>
      <c r="F25" s="136">
        <v>50</v>
      </c>
      <c r="G25" s="136">
        <f>G21</f>
        <v>0</v>
      </c>
      <c r="H25" s="136">
        <v>0</v>
      </c>
      <c r="I25" s="136">
        <v>0</v>
      </c>
      <c r="J25" s="136">
        <v>-50</v>
      </c>
      <c r="K25" s="136">
        <v>-50</v>
      </c>
      <c r="L25" s="136">
        <v>-50</v>
      </c>
      <c r="M25" s="136">
        <v>-50</v>
      </c>
      <c r="N25" s="136">
        <v>0</v>
      </c>
      <c r="O25" s="136">
        <v>0</v>
      </c>
      <c r="P25" s="136">
        <v>0</v>
      </c>
      <c r="Q25" s="136">
        <v>0</v>
      </c>
      <c r="R25" s="136">
        <v>0</v>
      </c>
      <c r="S25" s="136">
        <v>0</v>
      </c>
      <c r="T25" s="136">
        <v>0</v>
      </c>
      <c r="U25" s="136">
        <v>0</v>
      </c>
      <c r="V25" s="136">
        <v>0</v>
      </c>
      <c r="W25" s="136">
        <v>0</v>
      </c>
      <c r="X25" s="136">
        <v>0</v>
      </c>
      <c r="Y25" s="136">
        <v>0</v>
      </c>
      <c r="Z25" s="136">
        <v>0</v>
      </c>
      <c r="AA25" s="136">
        <v>0</v>
      </c>
      <c r="AB25" s="136">
        <v>0</v>
      </c>
    </row>
    <row r="26" spans="1:28" ht="14.5">
      <c r="A26" s="131" t="s">
        <v>102</v>
      </c>
      <c r="B26" s="132">
        <v>19</v>
      </c>
      <c r="C26" s="133">
        <v>15.64</v>
      </c>
      <c r="D26" s="134">
        <v>6</v>
      </c>
      <c r="E26" s="135">
        <f t="shared" si="3"/>
        <v>1</v>
      </c>
      <c r="F26" s="136">
        <v>5</v>
      </c>
      <c r="G26" s="136">
        <f t="shared" ref="G26:G28" si="4">G22</f>
        <v>0</v>
      </c>
      <c r="H26" s="136">
        <v>0</v>
      </c>
      <c r="I26" s="136">
        <v>0</v>
      </c>
      <c r="J26" s="136">
        <v>90</v>
      </c>
      <c r="K26" s="136">
        <v>90</v>
      </c>
      <c r="L26" s="136">
        <v>90</v>
      </c>
      <c r="M26" s="136">
        <v>90</v>
      </c>
      <c r="N26" s="136">
        <v>0</v>
      </c>
      <c r="O26" s="136">
        <v>0</v>
      </c>
      <c r="P26" s="136">
        <v>0</v>
      </c>
      <c r="Q26" s="136">
        <v>0</v>
      </c>
      <c r="R26" s="136">
        <v>0</v>
      </c>
      <c r="S26" s="136">
        <v>0</v>
      </c>
      <c r="T26" s="136">
        <v>0</v>
      </c>
      <c r="U26" s="136">
        <v>0</v>
      </c>
      <c r="V26" s="136">
        <v>0</v>
      </c>
      <c r="W26" s="136">
        <v>0</v>
      </c>
      <c r="X26" s="136">
        <v>0</v>
      </c>
      <c r="Y26" s="136">
        <v>0</v>
      </c>
      <c r="Z26" s="136">
        <v>0</v>
      </c>
      <c r="AA26" s="136">
        <v>0</v>
      </c>
      <c r="AB26" s="136">
        <v>0</v>
      </c>
    </row>
    <row r="27" spans="1:28" ht="14.5">
      <c r="A27" s="131" t="s">
        <v>103</v>
      </c>
      <c r="B27" s="132">
        <v>21</v>
      </c>
      <c r="C27" s="133">
        <v>51.15</v>
      </c>
      <c r="D27" s="134">
        <v>7</v>
      </c>
      <c r="E27" s="135">
        <f t="shared" si="3"/>
        <v>0</v>
      </c>
      <c r="F27" s="136">
        <v>125</v>
      </c>
      <c r="G27" s="136">
        <f t="shared" si="4"/>
        <v>0</v>
      </c>
      <c r="H27" s="136">
        <v>0</v>
      </c>
      <c r="I27" s="136">
        <v>0</v>
      </c>
      <c r="J27" s="136">
        <v>15</v>
      </c>
      <c r="K27" s="136">
        <v>15</v>
      </c>
      <c r="L27" s="136">
        <v>15</v>
      </c>
      <c r="M27" s="136">
        <v>15</v>
      </c>
      <c r="N27" s="136">
        <v>0</v>
      </c>
      <c r="O27" s="136">
        <v>0</v>
      </c>
      <c r="P27" s="136">
        <v>0</v>
      </c>
      <c r="Q27" s="136">
        <v>0</v>
      </c>
      <c r="R27" s="136">
        <v>0</v>
      </c>
      <c r="S27" s="136">
        <v>0</v>
      </c>
      <c r="T27" s="136">
        <v>0</v>
      </c>
      <c r="U27" s="136">
        <v>0</v>
      </c>
      <c r="V27" s="136">
        <v>0</v>
      </c>
      <c r="W27" s="136">
        <v>0</v>
      </c>
      <c r="X27" s="136">
        <v>0</v>
      </c>
      <c r="Y27" s="136">
        <v>0</v>
      </c>
      <c r="Z27" s="136">
        <v>0</v>
      </c>
      <c r="AA27" s="136">
        <v>0</v>
      </c>
      <c r="AB27" s="136">
        <v>0</v>
      </c>
    </row>
    <row r="28" spans="1:28" ht="14.5">
      <c r="A28" s="131" t="s">
        <v>104</v>
      </c>
      <c r="B28" s="132">
        <v>20</v>
      </c>
      <c r="C28" s="133">
        <v>38.58</v>
      </c>
      <c r="D28" s="134">
        <v>8</v>
      </c>
      <c r="E28" s="135">
        <f t="shared" si="3"/>
        <v>1</v>
      </c>
      <c r="F28" s="136">
        <v>125</v>
      </c>
      <c r="G28" s="136">
        <f t="shared" si="4"/>
        <v>0</v>
      </c>
      <c r="H28" s="136">
        <v>0</v>
      </c>
      <c r="I28" s="136">
        <v>0</v>
      </c>
      <c r="J28" s="136">
        <v>15</v>
      </c>
      <c r="K28" s="136">
        <v>15</v>
      </c>
      <c r="L28" s="136">
        <v>15</v>
      </c>
      <c r="M28" s="136">
        <v>15</v>
      </c>
      <c r="N28" s="136">
        <v>0</v>
      </c>
      <c r="O28" s="136">
        <v>0</v>
      </c>
      <c r="P28" s="136">
        <v>0</v>
      </c>
      <c r="Q28" s="136">
        <v>0</v>
      </c>
      <c r="R28" s="136">
        <v>0</v>
      </c>
      <c r="S28" s="136">
        <v>0</v>
      </c>
      <c r="T28" s="136">
        <v>0</v>
      </c>
      <c r="U28" s="136">
        <v>0</v>
      </c>
      <c r="V28" s="136">
        <v>0</v>
      </c>
      <c r="W28" s="136">
        <v>0</v>
      </c>
      <c r="X28" s="136">
        <v>0</v>
      </c>
      <c r="Y28" s="136">
        <v>0</v>
      </c>
      <c r="Z28" s="136">
        <v>0</v>
      </c>
      <c r="AA28" s="136">
        <v>0</v>
      </c>
      <c r="AB28" s="136">
        <v>0</v>
      </c>
    </row>
    <row r="29" spans="1:28">
      <c r="A29" s="90"/>
      <c r="B29" s="90"/>
      <c r="C29" s="90"/>
      <c r="D29" s="91"/>
      <c r="E29" s="90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68"/>
      <c r="V29" s="68"/>
      <c r="W29" s="68"/>
      <c r="X29" s="68"/>
      <c r="Y29" s="68"/>
      <c r="Z29" s="68"/>
    </row>
    <row r="30" spans="1:28">
      <c r="A30" s="90"/>
      <c r="B30" s="90"/>
      <c r="C30" s="90"/>
      <c r="D30" s="91"/>
      <c r="E30" s="90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68"/>
      <c r="V30" s="68"/>
      <c r="W30" s="68"/>
      <c r="X30" s="68"/>
      <c r="Y30" s="68"/>
      <c r="Z30" s="68"/>
    </row>
    <row r="31" spans="1:28">
      <c r="A31" s="90"/>
      <c r="B31" s="90"/>
      <c r="C31" s="90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68"/>
      <c r="V31" s="68"/>
      <c r="W31" s="68"/>
      <c r="X31" s="68"/>
      <c r="Y31" s="68"/>
      <c r="Z31" s="68"/>
    </row>
    <row r="32" spans="1:28">
      <c r="A32" s="90"/>
      <c r="B32" s="90"/>
      <c r="C32" s="90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68"/>
      <c r="V32" s="68"/>
      <c r="W32" s="68"/>
      <c r="X32" s="68"/>
      <c r="Y32" s="68"/>
      <c r="Z32" s="68"/>
    </row>
    <row r="33" spans="1:26">
      <c r="A33" s="90"/>
      <c r="B33" s="90"/>
      <c r="C33" s="90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68"/>
      <c r="V33" s="68"/>
      <c r="W33" s="68"/>
      <c r="X33" s="68"/>
      <c r="Y33" s="68"/>
      <c r="Z33" s="68"/>
    </row>
    <row r="34" spans="1:26">
      <c r="A34" s="90"/>
      <c r="B34" s="90"/>
      <c r="C34" s="90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68"/>
      <c r="V34" s="68"/>
      <c r="W34" s="68"/>
      <c r="X34" s="68"/>
      <c r="Y34" s="68"/>
      <c r="Z34" s="68"/>
    </row>
    <row r="35" spans="1:26">
      <c r="A35" s="90"/>
      <c r="B35" s="90"/>
      <c r="C35" s="90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68"/>
      <c r="V35" s="68"/>
      <c r="W35" s="68"/>
      <c r="X35" s="68"/>
      <c r="Y35" s="68"/>
      <c r="Z35" s="68"/>
    </row>
    <row r="36" spans="1:26">
      <c r="A36" s="90"/>
      <c r="B36" s="90"/>
      <c r="C36" s="90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68"/>
      <c r="V36" s="68"/>
      <c r="W36" s="68"/>
      <c r="X36" s="68"/>
      <c r="Y36" s="68"/>
      <c r="Z36" s="68"/>
    </row>
    <row r="37" spans="1:26">
      <c r="A37" s="90"/>
      <c r="B37" s="90"/>
      <c r="C37" s="90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</row>
    <row r="38" spans="1:26">
      <c r="A38" s="90"/>
      <c r="B38" s="90"/>
      <c r="C38" s="90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</row>
    <row r="39" spans="1:26">
      <c r="A39" s="90"/>
      <c r="B39" s="90"/>
      <c r="C39" s="90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</row>
    <row r="40" spans="1:26">
      <c r="A40" s="90"/>
      <c r="B40" s="90"/>
      <c r="C40" s="90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</row>
    <row r="41" spans="1:26">
      <c r="A41" s="90"/>
      <c r="B41" s="90"/>
      <c r="C41" s="90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V9:AB11 V13:AB13 V15:AB17 V19:AB19 H12:AB12 H14:AB14 H8:AB8 H18:AB18" name="入力範囲_4_1_1_1_1_1"/>
    <protectedRange sqref="E8:E13" name="入力範囲_4_1_1_1_3_1_1"/>
    <protectedRange sqref="X20:AB20" name="入力範囲_4_1_1_1_1_1_1"/>
    <protectedRange sqref="E20" name="入力範囲_4_1_1_1_3_1_1_1"/>
    <protectedRange sqref="E14:E19 E25:E28" name="入力範囲_4_1_1_1_3_1_1_2"/>
    <protectedRange sqref="H20:W20" name="入力範囲_4_1_1_1_1_1_2"/>
    <protectedRange sqref="H9:U11" name="入力範囲_4_1_1_1_1_1_3"/>
    <protectedRange sqref="H15:U17" name="入力範囲_4_1_1_1_1_1_9"/>
    <protectedRange sqref="H13:U13" name="入力範囲_4_1_1_1_1_1_10"/>
    <protectedRange sqref="H19:U19" name="入力範囲_4_1_1_1_1_1_12"/>
    <protectedRange sqref="F8:G19" name="入力範囲_4_1_1_1_1_1_4_1"/>
    <protectedRange sqref="F20:G20" name="入力範囲_4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9"/>
  <dimension ref="A1:AB51"/>
  <sheetViews>
    <sheetView zoomScale="145" zoomScaleNormal="145" workbookViewId="0">
      <selection activeCell="F31" sqref="F31"/>
    </sheetView>
  </sheetViews>
  <sheetFormatPr defaultRowHeight="13"/>
  <cols>
    <col min="1" max="1" width="16.6328125" customWidth="1"/>
    <col min="2" max="28" width="8.6328125" customWidth="1"/>
    <col min="29" max="31" width="7.6328125" customWidth="1"/>
  </cols>
  <sheetData>
    <row r="1" spans="1:28" ht="15" thickBot="1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5">
      <c r="A2" s="101">
        <v>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5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 t="s">
        <v>120</v>
      </c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5">
      <c r="A4" s="96"/>
      <c r="B4" s="109"/>
      <c r="C4" s="96"/>
      <c r="D4" s="96"/>
      <c r="E4" s="96"/>
      <c r="F4" s="96"/>
      <c r="G4" s="110" t="s">
        <v>121</v>
      </c>
      <c r="H4" s="111">
        <v>0</v>
      </c>
      <c r="I4" s="111">
        <f>H4+H5+H6</f>
        <v>2</v>
      </c>
      <c r="J4" s="111">
        <f t="shared" ref="J4:AB4" si="0">I4+I5+I6</f>
        <v>102</v>
      </c>
      <c r="K4" s="111">
        <f t="shared" si="0"/>
        <v>112</v>
      </c>
      <c r="L4" s="111">
        <f t="shared" si="0"/>
        <v>152</v>
      </c>
      <c r="M4" s="111">
        <f t="shared" si="0"/>
        <v>192</v>
      </c>
      <c r="N4" s="111">
        <f t="shared" si="0"/>
        <v>212</v>
      </c>
      <c r="O4" s="111">
        <f t="shared" si="0"/>
        <v>232</v>
      </c>
      <c r="P4" s="111">
        <f t="shared" si="0"/>
        <v>302</v>
      </c>
      <c r="Q4" s="111">
        <f t="shared" si="0"/>
        <v>322</v>
      </c>
      <c r="R4" s="111">
        <f t="shared" si="0"/>
        <v>362</v>
      </c>
      <c r="S4" s="111">
        <f t="shared" si="0"/>
        <v>402</v>
      </c>
      <c r="T4" s="111">
        <f t="shared" si="0"/>
        <v>502</v>
      </c>
      <c r="U4" s="111">
        <f t="shared" si="0"/>
        <v>512</v>
      </c>
      <c r="V4" s="111">
        <f t="shared" si="0"/>
        <v>514</v>
      </c>
      <c r="W4" s="111">
        <f t="shared" si="0"/>
        <v>516</v>
      </c>
      <c r="X4" s="111">
        <f t="shared" si="0"/>
        <v>541</v>
      </c>
      <c r="Y4" s="111">
        <f t="shared" si="0"/>
        <v>641</v>
      </c>
      <c r="Z4" s="111">
        <f t="shared" si="0"/>
        <v>741</v>
      </c>
      <c r="AA4" s="111">
        <f t="shared" si="0"/>
        <v>841</v>
      </c>
      <c r="AB4" s="111">
        <f t="shared" si="0"/>
        <v>941</v>
      </c>
    </row>
    <row r="5" spans="1:28" ht="14.5">
      <c r="A5" s="96"/>
      <c r="B5" s="109"/>
      <c r="C5" s="96"/>
      <c r="D5" s="96"/>
      <c r="E5" s="97"/>
      <c r="F5" s="96"/>
      <c r="G5" s="112" t="s">
        <v>2</v>
      </c>
      <c r="H5" s="113">
        <v>2</v>
      </c>
      <c r="I5" s="113">
        <v>100</v>
      </c>
      <c r="J5" s="113">
        <v>10</v>
      </c>
      <c r="K5" s="113">
        <v>40</v>
      </c>
      <c r="L5" s="113">
        <v>40</v>
      </c>
      <c r="M5" s="113">
        <v>20</v>
      </c>
      <c r="N5" s="113">
        <v>20</v>
      </c>
      <c r="O5" s="113">
        <v>70</v>
      </c>
      <c r="P5" s="113">
        <v>20</v>
      </c>
      <c r="Q5" s="113">
        <v>40</v>
      </c>
      <c r="R5" s="113">
        <v>40</v>
      </c>
      <c r="S5" s="113">
        <v>100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5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5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2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ht="14.5">
      <c r="A8" s="122" t="s">
        <v>109</v>
      </c>
      <c r="B8" s="123">
        <v>10</v>
      </c>
      <c r="C8" s="124">
        <v>-0.26</v>
      </c>
      <c r="D8" s="125">
        <v>1</v>
      </c>
      <c r="E8" s="126">
        <v>0</v>
      </c>
      <c r="F8" s="127">
        <v>-2</v>
      </c>
      <c r="G8" s="127">
        <v>0</v>
      </c>
      <c r="H8" s="127">
        <v>0</v>
      </c>
      <c r="I8" s="127">
        <v>0</v>
      </c>
      <c r="J8" s="127">
        <v>0</v>
      </c>
      <c r="K8" s="127">
        <v>0</v>
      </c>
      <c r="L8" s="127">
        <v>0</v>
      </c>
      <c r="M8" s="127">
        <v>0</v>
      </c>
      <c r="N8" s="127">
        <v>0</v>
      </c>
      <c r="O8" s="127">
        <v>0</v>
      </c>
      <c r="P8" s="127">
        <v>0</v>
      </c>
      <c r="Q8" s="127">
        <v>0</v>
      </c>
      <c r="R8" s="127">
        <v>0</v>
      </c>
      <c r="S8" s="127">
        <v>0</v>
      </c>
      <c r="T8" s="127">
        <v>0</v>
      </c>
      <c r="U8" s="127">
        <v>0</v>
      </c>
      <c r="V8" s="127">
        <v>0</v>
      </c>
      <c r="W8" s="127">
        <v>0</v>
      </c>
      <c r="X8" s="127">
        <v>0</v>
      </c>
      <c r="Y8" s="127">
        <v>0</v>
      </c>
      <c r="Z8" s="127">
        <v>0</v>
      </c>
      <c r="AA8" s="127">
        <v>0</v>
      </c>
      <c r="AB8" s="127">
        <v>0</v>
      </c>
    </row>
    <row r="9" spans="1:28" ht="14.5">
      <c r="A9" s="122" t="s">
        <v>108</v>
      </c>
      <c r="B9" s="123">
        <v>9</v>
      </c>
      <c r="C9" s="124">
        <v>-0.18</v>
      </c>
      <c r="D9" s="125">
        <v>2</v>
      </c>
      <c r="E9" s="126">
        <v>1</v>
      </c>
      <c r="F9" s="127">
        <v>-9.5</v>
      </c>
      <c r="G9" s="127">
        <v>0.5</v>
      </c>
      <c r="H9" s="127">
        <v>0</v>
      </c>
      <c r="I9" s="127">
        <v>0</v>
      </c>
      <c r="J9" s="127">
        <v>-5</v>
      </c>
      <c r="K9" s="127">
        <v>-5</v>
      </c>
      <c r="L9" s="127">
        <v>-5</v>
      </c>
      <c r="M9" s="127">
        <v>-5</v>
      </c>
      <c r="N9" s="127">
        <v>-5</v>
      </c>
      <c r="O9" s="127">
        <v>-5</v>
      </c>
      <c r="P9" s="127">
        <v>5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5">
      <c r="A10" s="122" t="s">
        <v>107</v>
      </c>
      <c r="B10" s="130">
        <v>8</v>
      </c>
      <c r="C10" s="124">
        <v>4.22</v>
      </c>
      <c r="D10" s="125">
        <v>3</v>
      </c>
      <c r="E10" s="126">
        <v>1</v>
      </c>
      <c r="F10" s="127">
        <v>11</v>
      </c>
      <c r="G10" s="127">
        <v>-1</v>
      </c>
      <c r="H10" s="127">
        <v>0</v>
      </c>
      <c r="I10" s="127">
        <v>0</v>
      </c>
      <c r="J10" s="127">
        <v>-35</v>
      </c>
      <c r="K10" s="127">
        <v>-35</v>
      </c>
      <c r="L10" s="127">
        <v>-35</v>
      </c>
      <c r="M10" s="127">
        <v>-35</v>
      </c>
      <c r="N10" s="127">
        <v>-35</v>
      </c>
      <c r="O10" s="127">
        <v>-35</v>
      </c>
      <c r="P10" s="127">
        <v>-35</v>
      </c>
      <c r="Q10" s="127">
        <v>-20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5">
      <c r="A11" s="122" t="s">
        <v>113</v>
      </c>
      <c r="B11" s="123">
        <v>7</v>
      </c>
      <c r="C11" s="124">
        <v>9.4</v>
      </c>
      <c r="D11" s="125">
        <v>4</v>
      </c>
      <c r="E11" s="126">
        <v>0</v>
      </c>
      <c r="F11" s="127">
        <v>6</v>
      </c>
      <c r="G11" s="127">
        <v>-1</v>
      </c>
      <c r="H11" s="127">
        <v>0</v>
      </c>
      <c r="I11" s="127">
        <v>0</v>
      </c>
      <c r="J11" s="127">
        <v>-35</v>
      </c>
      <c r="K11" s="127">
        <v>-35</v>
      </c>
      <c r="L11" s="127">
        <v>-35</v>
      </c>
      <c r="M11" s="127">
        <v>-35</v>
      </c>
      <c r="N11" s="127">
        <v>-35</v>
      </c>
      <c r="O11" s="127">
        <v>-35</v>
      </c>
      <c r="P11" s="127">
        <v>-35</v>
      </c>
      <c r="Q11" s="127">
        <v>-20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5">
      <c r="A12" s="122" t="s">
        <v>106</v>
      </c>
      <c r="B12" s="123">
        <v>6</v>
      </c>
      <c r="C12" s="124">
        <v>-0.18</v>
      </c>
      <c r="D12" s="125">
        <v>5</v>
      </c>
      <c r="E12" s="126">
        <v>0</v>
      </c>
      <c r="F12" s="127">
        <v>5</v>
      </c>
      <c r="G12" s="127">
        <v>-1</v>
      </c>
      <c r="H12" s="127">
        <v>0</v>
      </c>
      <c r="I12" s="127">
        <v>0</v>
      </c>
      <c r="J12" s="127">
        <v>0</v>
      </c>
      <c r="K12" s="127">
        <v>0</v>
      </c>
      <c r="L12" s="127">
        <v>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5">
      <c r="A13" s="122" t="s">
        <v>105</v>
      </c>
      <c r="B13" s="123">
        <v>2</v>
      </c>
      <c r="C13" s="124">
        <v>0.97</v>
      </c>
      <c r="D13" s="125">
        <v>6</v>
      </c>
      <c r="E13" s="126">
        <v>1</v>
      </c>
      <c r="F13" s="127">
        <v>10</v>
      </c>
      <c r="G13" s="127">
        <v>-1</v>
      </c>
      <c r="H13" s="127">
        <v>0</v>
      </c>
      <c r="I13" s="127">
        <v>0</v>
      </c>
      <c r="J13" s="127">
        <f>-J9</f>
        <v>5</v>
      </c>
      <c r="K13" s="127">
        <f t="shared" ref="K13:P13" si="1">-K9</f>
        <v>5</v>
      </c>
      <c r="L13" s="127">
        <f t="shared" si="1"/>
        <v>5</v>
      </c>
      <c r="M13" s="127">
        <f t="shared" si="1"/>
        <v>5</v>
      </c>
      <c r="N13" s="127">
        <f t="shared" si="1"/>
        <v>5</v>
      </c>
      <c r="O13" s="127">
        <f t="shared" si="1"/>
        <v>5</v>
      </c>
      <c r="P13" s="127">
        <f t="shared" si="1"/>
        <v>-5</v>
      </c>
      <c r="Q13" s="127">
        <v>0</v>
      </c>
      <c r="R13" s="127">
        <v>0</v>
      </c>
      <c r="S13" s="127">
        <v>0</v>
      </c>
      <c r="T13" s="127">
        <v>0</v>
      </c>
      <c r="U13" s="127">
        <v>0</v>
      </c>
      <c r="V13" s="127">
        <v>0</v>
      </c>
      <c r="W13" s="127">
        <v>0</v>
      </c>
      <c r="X13" s="127">
        <v>0</v>
      </c>
      <c r="Y13" s="127">
        <v>0</v>
      </c>
      <c r="Z13" s="127">
        <v>0</v>
      </c>
      <c r="AA13" s="127">
        <v>0</v>
      </c>
      <c r="AB13" s="127">
        <v>0</v>
      </c>
    </row>
    <row r="14" spans="1:28" s="89" customFormat="1" ht="14.5">
      <c r="A14" s="131" t="s">
        <v>110</v>
      </c>
      <c r="B14" s="132">
        <v>15</v>
      </c>
      <c r="C14" s="133">
        <v>0.18</v>
      </c>
      <c r="D14" s="134">
        <v>1</v>
      </c>
      <c r="E14" s="135">
        <f>IF(E8=0,1,0)</f>
        <v>1</v>
      </c>
      <c r="F14" s="136">
        <v>-2</v>
      </c>
      <c r="G14" s="136">
        <v>0</v>
      </c>
      <c r="H14" s="136">
        <v>0</v>
      </c>
      <c r="I14" s="136">
        <v>0</v>
      </c>
      <c r="J14" s="136">
        <v>0</v>
      </c>
      <c r="K14" s="136">
        <v>0</v>
      </c>
      <c r="L14" s="136">
        <v>0</v>
      </c>
      <c r="M14" s="136">
        <v>0</v>
      </c>
      <c r="N14" s="136">
        <v>0</v>
      </c>
      <c r="O14" s="136">
        <v>0</v>
      </c>
      <c r="P14" s="136">
        <v>0</v>
      </c>
      <c r="Q14" s="136">
        <v>0</v>
      </c>
      <c r="R14" s="136">
        <v>0</v>
      </c>
      <c r="S14" s="136">
        <v>0</v>
      </c>
      <c r="T14" s="136">
        <v>0</v>
      </c>
      <c r="U14" s="136">
        <v>0</v>
      </c>
      <c r="V14" s="136">
        <v>0</v>
      </c>
      <c r="W14" s="136">
        <v>0</v>
      </c>
      <c r="X14" s="136">
        <v>0</v>
      </c>
      <c r="Y14" s="136">
        <v>0</v>
      </c>
      <c r="Z14" s="136">
        <v>0</v>
      </c>
      <c r="AA14" s="136">
        <v>0</v>
      </c>
      <c r="AB14" s="136">
        <v>0</v>
      </c>
    </row>
    <row r="15" spans="1:28" s="89" customFormat="1" ht="14.5">
      <c r="A15" s="131" t="s">
        <v>111</v>
      </c>
      <c r="B15" s="132">
        <v>14</v>
      </c>
      <c r="C15" s="133">
        <v>0.18</v>
      </c>
      <c r="D15" s="134">
        <v>2</v>
      </c>
      <c r="E15" s="135">
        <f t="shared" ref="E15:E18" si="2">IF(E9=0,1,0)</f>
        <v>0</v>
      </c>
      <c r="F15" s="136">
        <v>-9.5</v>
      </c>
      <c r="G15" s="136">
        <v>-0.5</v>
      </c>
      <c r="H15" s="136">
        <v>0</v>
      </c>
      <c r="I15" s="136">
        <v>0</v>
      </c>
      <c r="J15" s="136">
        <f>J9</f>
        <v>-5</v>
      </c>
      <c r="K15" s="136">
        <f t="shared" ref="K15:P15" si="3">K9</f>
        <v>-5</v>
      </c>
      <c r="L15" s="136">
        <f t="shared" si="3"/>
        <v>-5</v>
      </c>
      <c r="M15" s="136">
        <f t="shared" si="3"/>
        <v>-5</v>
      </c>
      <c r="N15" s="136">
        <f t="shared" si="3"/>
        <v>-5</v>
      </c>
      <c r="O15" s="136">
        <f t="shared" si="3"/>
        <v>-5</v>
      </c>
      <c r="P15" s="136">
        <f t="shared" si="3"/>
        <v>5</v>
      </c>
      <c r="Q15" s="136">
        <v>0</v>
      </c>
      <c r="R15" s="136">
        <v>0</v>
      </c>
      <c r="S15" s="136">
        <v>0</v>
      </c>
      <c r="T15" s="136">
        <v>0</v>
      </c>
      <c r="U15" s="136">
        <v>0</v>
      </c>
      <c r="V15" s="136">
        <v>0</v>
      </c>
      <c r="W15" s="136">
        <v>0</v>
      </c>
      <c r="X15" s="136">
        <v>0</v>
      </c>
      <c r="Y15" s="136">
        <v>0</v>
      </c>
      <c r="Z15" s="136">
        <v>0</v>
      </c>
      <c r="AA15" s="136">
        <v>0</v>
      </c>
      <c r="AB15" s="136">
        <v>0</v>
      </c>
    </row>
    <row r="16" spans="1:28" s="89" customFormat="1" ht="14.5">
      <c r="A16" s="131" t="s">
        <v>112</v>
      </c>
      <c r="B16" s="138">
        <v>13</v>
      </c>
      <c r="C16" s="133">
        <v>-6.06</v>
      </c>
      <c r="D16" s="134">
        <v>3</v>
      </c>
      <c r="E16" s="135">
        <f t="shared" si="2"/>
        <v>0</v>
      </c>
      <c r="F16" s="136">
        <v>11</v>
      </c>
      <c r="G16" s="136">
        <v>1</v>
      </c>
      <c r="H16" s="136">
        <v>0</v>
      </c>
      <c r="I16" s="136">
        <v>0</v>
      </c>
      <c r="J16" s="136">
        <v>-35</v>
      </c>
      <c r="K16" s="136">
        <v>-35</v>
      </c>
      <c r="L16" s="136">
        <v>-35</v>
      </c>
      <c r="M16" s="136">
        <v>-35</v>
      </c>
      <c r="N16" s="136">
        <v>-35</v>
      </c>
      <c r="O16" s="136">
        <v>-35</v>
      </c>
      <c r="P16" s="136">
        <v>-35</v>
      </c>
      <c r="Q16" s="136">
        <v>-20</v>
      </c>
      <c r="R16" s="136">
        <v>0</v>
      </c>
      <c r="S16" s="136">
        <v>0</v>
      </c>
      <c r="T16" s="136">
        <v>0</v>
      </c>
      <c r="U16" s="136">
        <v>0</v>
      </c>
      <c r="V16" s="136">
        <v>0</v>
      </c>
      <c r="W16" s="136">
        <v>0</v>
      </c>
      <c r="X16" s="136">
        <v>0</v>
      </c>
      <c r="Y16" s="136">
        <v>0</v>
      </c>
      <c r="Z16" s="136">
        <v>0</v>
      </c>
      <c r="AA16" s="136">
        <v>0</v>
      </c>
      <c r="AB16" s="136">
        <v>0</v>
      </c>
    </row>
    <row r="17" spans="1:28" s="89" customFormat="1" ht="14.5">
      <c r="A17" s="131" t="s">
        <v>114</v>
      </c>
      <c r="B17" s="132">
        <v>12</v>
      </c>
      <c r="C17" s="133">
        <v>9.0500000000000007</v>
      </c>
      <c r="D17" s="134">
        <v>4</v>
      </c>
      <c r="E17" s="135">
        <f t="shared" si="2"/>
        <v>1</v>
      </c>
      <c r="F17" s="136">
        <v>6</v>
      </c>
      <c r="G17" s="136">
        <v>1</v>
      </c>
      <c r="H17" s="136">
        <v>0</v>
      </c>
      <c r="I17" s="136">
        <v>0</v>
      </c>
      <c r="J17" s="136">
        <v>-35</v>
      </c>
      <c r="K17" s="136">
        <v>-35</v>
      </c>
      <c r="L17" s="136">
        <v>-35</v>
      </c>
      <c r="M17" s="136">
        <v>-35</v>
      </c>
      <c r="N17" s="136">
        <v>-35</v>
      </c>
      <c r="O17" s="136">
        <v>-35</v>
      </c>
      <c r="P17" s="136">
        <v>-35</v>
      </c>
      <c r="Q17" s="136">
        <v>-20</v>
      </c>
      <c r="R17" s="136">
        <v>0</v>
      </c>
      <c r="S17" s="136">
        <v>0</v>
      </c>
      <c r="T17" s="136">
        <v>0</v>
      </c>
      <c r="U17" s="136">
        <v>0</v>
      </c>
      <c r="V17" s="136">
        <v>0</v>
      </c>
      <c r="W17" s="136">
        <v>0</v>
      </c>
      <c r="X17" s="136">
        <v>0</v>
      </c>
      <c r="Y17" s="136">
        <v>0</v>
      </c>
      <c r="Z17" s="136">
        <v>0</v>
      </c>
      <c r="AA17" s="136">
        <v>0</v>
      </c>
      <c r="AB17" s="136">
        <v>0</v>
      </c>
    </row>
    <row r="18" spans="1:28" s="89" customFormat="1" ht="14.5">
      <c r="A18" s="131" t="s">
        <v>115</v>
      </c>
      <c r="B18" s="132">
        <v>11</v>
      </c>
      <c r="C18" s="133">
        <v>0.44</v>
      </c>
      <c r="D18" s="134">
        <v>5</v>
      </c>
      <c r="E18" s="135">
        <f t="shared" si="2"/>
        <v>1</v>
      </c>
      <c r="F18" s="136">
        <v>5</v>
      </c>
      <c r="G18" s="136">
        <v>1</v>
      </c>
      <c r="H18" s="136">
        <v>0</v>
      </c>
      <c r="I18" s="136">
        <v>0</v>
      </c>
      <c r="J18" s="136">
        <v>0</v>
      </c>
      <c r="K18" s="136">
        <v>0</v>
      </c>
      <c r="L18" s="136">
        <v>0</v>
      </c>
      <c r="M18" s="136">
        <v>0</v>
      </c>
      <c r="N18" s="136">
        <v>0</v>
      </c>
      <c r="O18" s="136">
        <v>0</v>
      </c>
      <c r="P18" s="136">
        <v>0</v>
      </c>
      <c r="Q18" s="136">
        <v>0</v>
      </c>
      <c r="R18" s="136">
        <v>0</v>
      </c>
      <c r="S18" s="136">
        <v>0</v>
      </c>
      <c r="T18" s="136">
        <v>0</v>
      </c>
      <c r="U18" s="136">
        <v>0</v>
      </c>
      <c r="V18" s="136">
        <v>0</v>
      </c>
      <c r="W18" s="136">
        <v>0</v>
      </c>
      <c r="X18" s="136">
        <v>0</v>
      </c>
      <c r="Y18" s="136">
        <v>0</v>
      </c>
      <c r="Z18" s="136">
        <v>0</v>
      </c>
      <c r="AA18" s="136">
        <v>0</v>
      </c>
      <c r="AB18" s="136">
        <v>0</v>
      </c>
    </row>
    <row r="19" spans="1:28" s="89" customFormat="1" ht="14.5">
      <c r="A19" s="131" t="s">
        <v>116</v>
      </c>
      <c r="B19" s="132">
        <v>3</v>
      </c>
      <c r="C19" s="133">
        <v>0.7</v>
      </c>
      <c r="D19" s="134">
        <v>6</v>
      </c>
      <c r="E19" s="135">
        <f>E13</f>
        <v>1</v>
      </c>
      <c r="F19" s="136">
        <v>10</v>
      </c>
      <c r="G19" s="136">
        <v>1</v>
      </c>
      <c r="H19" s="136">
        <v>0</v>
      </c>
      <c r="I19" s="136">
        <v>0</v>
      </c>
      <c r="J19" s="136">
        <f>J13</f>
        <v>5</v>
      </c>
      <c r="K19" s="136">
        <f t="shared" ref="K19:P19" si="4">K13</f>
        <v>5</v>
      </c>
      <c r="L19" s="136">
        <f t="shared" si="4"/>
        <v>5</v>
      </c>
      <c r="M19" s="136">
        <f t="shared" si="4"/>
        <v>5</v>
      </c>
      <c r="N19" s="136">
        <f t="shared" si="4"/>
        <v>5</v>
      </c>
      <c r="O19" s="136">
        <f t="shared" si="4"/>
        <v>5</v>
      </c>
      <c r="P19" s="136">
        <f t="shared" si="4"/>
        <v>-5</v>
      </c>
      <c r="Q19" s="136">
        <v>0</v>
      </c>
      <c r="R19" s="136">
        <v>0</v>
      </c>
      <c r="S19" s="136">
        <v>0</v>
      </c>
      <c r="T19" s="136">
        <v>0</v>
      </c>
      <c r="U19" s="136">
        <v>0</v>
      </c>
      <c r="V19" s="136">
        <v>0</v>
      </c>
      <c r="W19" s="136">
        <v>0</v>
      </c>
      <c r="X19" s="136">
        <v>0</v>
      </c>
      <c r="Y19" s="136">
        <v>0</v>
      </c>
      <c r="Z19" s="136">
        <v>0</v>
      </c>
      <c r="AA19" s="136">
        <v>0</v>
      </c>
      <c r="AB19" s="136">
        <v>0</v>
      </c>
    </row>
    <row r="20" spans="1:28" ht="14.5">
      <c r="A20" s="139" t="s">
        <v>96</v>
      </c>
      <c r="B20" s="140">
        <v>1</v>
      </c>
      <c r="C20" s="141">
        <v>-0.09</v>
      </c>
      <c r="D20" s="142" t="s">
        <v>45</v>
      </c>
      <c r="E20" s="143">
        <v>1</v>
      </c>
      <c r="F20" s="129">
        <v>1</v>
      </c>
      <c r="G20" s="129">
        <v>0</v>
      </c>
      <c r="H20" s="129">
        <v>0</v>
      </c>
      <c r="I20" s="129">
        <v>0</v>
      </c>
      <c r="J20" s="129">
        <v>0</v>
      </c>
      <c r="K20" s="129">
        <v>0</v>
      </c>
      <c r="L20" s="129">
        <v>0</v>
      </c>
      <c r="M20" s="129">
        <v>0</v>
      </c>
      <c r="N20" s="129">
        <v>0</v>
      </c>
      <c r="O20" s="129">
        <v>0</v>
      </c>
      <c r="P20" s="129">
        <v>0</v>
      </c>
      <c r="Q20" s="129">
        <v>0</v>
      </c>
      <c r="R20" s="129">
        <v>0</v>
      </c>
      <c r="S20" s="129">
        <v>0</v>
      </c>
      <c r="T20" s="129">
        <v>0</v>
      </c>
      <c r="U20" s="129">
        <v>0</v>
      </c>
      <c r="V20" s="129">
        <v>0</v>
      </c>
      <c r="W20" s="129">
        <v>0</v>
      </c>
      <c r="X20" s="129">
        <v>0</v>
      </c>
      <c r="Y20" s="129">
        <v>0</v>
      </c>
      <c r="Z20" s="129">
        <v>0</v>
      </c>
      <c r="AA20" s="129">
        <v>0</v>
      </c>
      <c r="AB20" s="129">
        <v>0</v>
      </c>
    </row>
    <row r="21" spans="1:28" ht="14.5">
      <c r="A21" s="122" t="s">
        <v>97</v>
      </c>
      <c r="B21" s="130">
        <v>4</v>
      </c>
      <c r="C21" s="124">
        <v>49.13</v>
      </c>
      <c r="D21" s="125">
        <v>5</v>
      </c>
      <c r="E21" s="126">
        <v>0</v>
      </c>
      <c r="F21" s="127">
        <v>50</v>
      </c>
      <c r="G21" s="127">
        <v>0</v>
      </c>
      <c r="H21" s="127">
        <v>0</v>
      </c>
      <c r="I21" s="127">
        <v>0</v>
      </c>
      <c r="J21" s="127">
        <v>30</v>
      </c>
      <c r="K21" s="127">
        <v>-120</v>
      </c>
      <c r="L21" s="127">
        <v>-130</v>
      </c>
      <c r="M21" s="127">
        <v>-100</v>
      </c>
      <c r="N21" s="127">
        <v>-70</v>
      </c>
      <c r="O21" s="127">
        <v>-45</v>
      </c>
      <c r="P21" s="127">
        <v>-80</v>
      </c>
      <c r="Q21" s="127">
        <v>-50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5">
      <c r="A22" s="122" t="s">
        <v>98</v>
      </c>
      <c r="B22" s="123">
        <v>16</v>
      </c>
      <c r="C22" s="124">
        <v>-0.18</v>
      </c>
      <c r="D22" s="125">
        <v>6</v>
      </c>
      <c r="E22" s="126">
        <v>0</v>
      </c>
      <c r="F22" s="127">
        <v>5</v>
      </c>
      <c r="G22" s="127">
        <v>0</v>
      </c>
      <c r="H22" s="127">
        <v>0</v>
      </c>
      <c r="I22" s="127">
        <v>0</v>
      </c>
      <c r="J22" s="127">
        <v>90</v>
      </c>
      <c r="K22" s="127">
        <v>100</v>
      </c>
      <c r="L22" s="127">
        <v>80</v>
      </c>
      <c r="M22" s="127">
        <v>0</v>
      </c>
      <c r="N22" s="127">
        <v>10</v>
      </c>
      <c r="O22" s="127">
        <v>10</v>
      </c>
      <c r="P22" s="127">
        <v>60</v>
      </c>
      <c r="Q22" s="127">
        <v>45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ht="14.5">
      <c r="A23" s="122" t="s">
        <v>99</v>
      </c>
      <c r="B23" s="123">
        <v>18</v>
      </c>
      <c r="C23" s="124">
        <v>129.99</v>
      </c>
      <c r="D23" s="125">
        <v>7</v>
      </c>
      <c r="E23" s="126">
        <v>1</v>
      </c>
      <c r="F23" s="127">
        <v>125</v>
      </c>
      <c r="G23" s="127">
        <v>0</v>
      </c>
      <c r="H23" s="127">
        <v>0</v>
      </c>
      <c r="I23" s="127">
        <v>0</v>
      </c>
      <c r="J23" s="127">
        <v>0</v>
      </c>
      <c r="K23" s="127">
        <v>-150</v>
      </c>
      <c r="L23" s="127">
        <v>-247</v>
      </c>
      <c r="M23" s="127">
        <v>-247</v>
      </c>
      <c r="N23" s="127">
        <v>-247</v>
      </c>
      <c r="O23" s="127">
        <v>-130</v>
      </c>
      <c r="P23" s="127">
        <v>-160</v>
      </c>
      <c r="Q23" s="127">
        <v>-45</v>
      </c>
      <c r="R23" s="127">
        <v>0</v>
      </c>
      <c r="S23" s="127">
        <v>0</v>
      </c>
      <c r="T23" s="127">
        <v>0</v>
      </c>
      <c r="U23" s="127">
        <v>0</v>
      </c>
      <c r="V23" s="127">
        <v>0</v>
      </c>
      <c r="W23" s="127">
        <v>0</v>
      </c>
      <c r="X23" s="127">
        <v>0</v>
      </c>
      <c r="Y23" s="127">
        <v>0</v>
      </c>
      <c r="Z23" s="127">
        <v>0</v>
      </c>
      <c r="AA23" s="127">
        <v>0</v>
      </c>
      <c r="AB23" s="127">
        <v>0</v>
      </c>
    </row>
    <row r="24" spans="1:28" ht="14.5">
      <c r="A24" s="122" t="s">
        <v>100</v>
      </c>
      <c r="B24" s="123">
        <v>17</v>
      </c>
      <c r="C24" s="124">
        <v>129.9</v>
      </c>
      <c r="D24" s="125">
        <v>8</v>
      </c>
      <c r="E24" s="126">
        <v>0</v>
      </c>
      <c r="F24" s="127">
        <v>125</v>
      </c>
      <c r="G24" s="127">
        <v>0</v>
      </c>
      <c r="H24" s="127">
        <v>0</v>
      </c>
      <c r="I24" s="127">
        <v>0</v>
      </c>
      <c r="J24" s="127">
        <v>0</v>
      </c>
      <c r="K24" s="127">
        <v>-150</v>
      </c>
      <c r="L24" s="127">
        <v>-255</v>
      </c>
      <c r="M24" s="127">
        <v>-255</v>
      </c>
      <c r="N24" s="127">
        <v>-255</v>
      </c>
      <c r="O24" s="127">
        <v>-140</v>
      </c>
      <c r="P24" s="127">
        <v>-160</v>
      </c>
      <c r="Q24" s="127">
        <v>-45</v>
      </c>
      <c r="R24" s="127">
        <v>0</v>
      </c>
      <c r="S24" s="127">
        <v>0</v>
      </c>
      <c r="T24" s="127">
        <v>0</v>
      </c>
      <c r="U24" s="127">
        <v>0</v>
      </c>
      <c r="V24" s="127">
        <v>0</v>
      </c>
      <c r="W24" s="127">
        <v>0</v>
      </c>
      <c r="X24" s="127">
        <v>0</v>
      </c>
      <c r="Y24" s="127">
        <v>0</v>
      </c>
      <c r="Z24" s="127">
        <v>0</v>
      </c>
      <c r="AA24" s="127">
        <v>0</v>
      </c>
      <c r="AB24" s="127">
        <v>0</v>
      </c>
    </row>
    <row r="25" spans="1:28" ht="14.5">
      <c r="A25" s="131" t="s">
        <v>101</v>
      </c>
      <c r="B25" s="132">
        <v>5</v>
      </c>
      <c r="C25" s="133">
        <v>-49.48</v>
      </c>
      <c r="D25" s="134">
        <v>5</v>
      </c>
      <c r="E25" s="135">
        <f t="shared" ref="E25:E28" si="5">IF(E21=0,1,0)</f>
        <v>1</v>
      </c>
      <c r="F25" s="136">
        <v>50</v>
      </c>
      <c r="G25" s="136">
        <f>G21</f>
        <v>0</v>
      </c>
      <c r="H25" s="136">
        <v>0</v>
      </c>
      <c r="I25" s="136">
        <v>0</v>
      </c>
      <c r="J25" s="136">
        <v>30</v>
      </c>
      <c r="K25" s="136">
        <v>-120</v>
      </c>
      <c r="L25" s="136">
        <v>-130</v>
      </c>
      <c r="M25" s="136">
        <v>-100</v>
      </c>
      <c r="N25" s="136">
        <v>-70</v>
      </c>
      <c r="O25" s="136">
        <v>-45</v>
      </c>
      <c r="P25" s="136">
        <v>-80</v>
      </c>
      <c r="Q25" s="136">
        <v>-50</v>
      </c>
      <c r="R25" s="136">
        <v>0</v>
      </c>
      <c r="S25" s="136">
        <v>0</v>
      </c>
      <c r="T25" s="136">
        <v>0</v>
      </c>
      <c r="U25" s="136">
        <v>0</v>
      </c>
      <c r="V25" s="136">
        <v>0</v>
      </c>
      <c r="W25" s="136">
        <v>0</v>
      </c>
      <c r="X25" s="136">
        <v>0</v>
      </c>
      <c r="Y25" s="136">
        <v>0</v>
      </c>
      <c r="Z25" s="136">
        <v>0</v>
      </c>
      <c r="AA25" s="136">
        <v>0</v>
      </c>
      <c r="AB25" s="136">
        <v>0</v>
      </c>
    </row>
    <row r="26" spans="1:28" ht="14.5">
      <c r="A26" s="131" t="s">
        <v>102</v>
      </c>
      <c r="B26" s="132">
        <v>19</v>
      </c>
      <c r="C26" s="133">
        <v>-0.18</v>
      </c>
      <c r="D26" s="134">
        <v>6</v>
      </c>
      <c r="E26" s="135">
        <f t="shared" si="5"/>
        <v>1</v>
      </c>
      <c r="F26" s="136">
        <v>5</v>
      </c>
      <c r="G26" s="136">
        <f t="shared" ref="G26:G28" si="6">G22</f>
        <v>0</v>
      </c>
      <c r="H26" s="136">
        <v>0</v>
      </c>
      <c r="I26" s="136">
        <v>0</v>
      </c>
      <c r="J26" s="136">
        <v>90</v>
      </c>
      <c r="K26" s="136">
        <v>100</v>
      </c>
      <c r="L26" s="136">
        <v>80</v>
      </c>
      <c r="M26" s="136">
        <v>0</v>
      </c>
      <c r="N26" s="136">
        <v>10</v>
      </c>
      <c r="O26" s="136">
        <v>10</v>
      </c>
      <c r="P26" s="136">
        <v>60</v>
      </c>
      <c r="Q26" s="136">
        <v>45</v>
      </c>
      <c r="R26" s="136">
        <v>0</v>
      </c>
      <c r="S26" s="136">
        <v>0</v>
      </c>
      <c r="T26" s="136">
        <v>0</v>
      </c>
      <c r="U26" s="136">
        <v>0</v>
      </c>
      <c r="V26" s="136">
        <v>0</v>
      </c>
      <c r="W26" s="136">
        <v>0</v>
      </c>
      <c r="X26" s="136">
        <v>0</v>
      </c>
      <c r="Y26" s="136">
        <v>0</v>
      </c>
      <c r="Z26" s="136">
        <v>0</v>
      </c>
      <c r="AA26" s="136">
        <v>0</v>
      </c>
      <c r="AB26" s="136">
        <v>0</v>
      </c>
    </row>
    <row r="27" spans="1:28" ht="14.5">
      <c r="A27" s="131" t="s">
        <v>103</v>
      </c>
      <c r="B27" s="132">
        <v>21</v>
      </c>
      <c r="C27" s="133">
        <v>130.08000000000001</v>
      </c>
      <c r="D27" s="134">
        <v>7</v>
      </c>
      <c r="E27" s="135">
        <f t="shared" si="5"/>
        <v>0</v>
      </c>
      <c r="F27" s="136">
        <v>125</v>
      </c>
      <c r="G27" s="136">
        <f t="shared" si="6"/>
        <v>0</v>
      </c>
      <c r="H27" s="136">
        <v>0</v>
      </c>
      <c r="I27" s="136">
        <v>0</v>
      </c>
      <c r="J27" s="136">
        <v>0</v>
      </c>
      <c r="K27" s="136">
        <v>-150</v>
      </c>
      <c r="L27" s="136">
        <v>-247</v>
      </c>
      <c r="M27" s="136">
        <v>-247</v>
      </c>
      <c r="N27" s="136">
        <v>-247</v>
      </c>
      <c r="O27" s="136">
        <v>-130</v>
      </c>
      <c r="P27" s="136">
        <v>-160</v>
      </c>
      <c r="Q27" s="136">
        <v>-45</v>
      </c>
      <c r="R27" s="136">
        <v>0</v>
      </c>
      <c r="S27" s="136">
        <v>0</v>
      </c>
      <c r="T27" s="136">
        <v>0</v>
      </c>
      <c r="U27" s="136">
        <v>0</v>
      </c>
      <c r="V27" s="136">
        <v>0</v>
      </c>
      <c r="W27" s="136">
        <v>0</v>
      </c>
      <c r="X27" s="136">
        <v>0</v>
      </c>
      <c r="Y27" s="136">
        <v>0</v>
      </c>
      <c r="Z27" s="136">
        <v>0</v>
      </c>
      <c r="AA27" s="136">
        <v>0</v>
      </c>
      <c r="AB27" s="136">
        <v>0</v>
      </c>
    </row>
    <row r="28" spans="1:28" ht="14.5">
      <c r="A28" s="131" t="s">
        <v>104</v>
      </c>
      <c r="B28" s="132">
        <v>20</v>
      </c>
      <c r="C28" s="133">
        <v>129.99</v>
      </c>
      <c r="D28" s="134">
        <v>8</v>
      </c>
      <c r="E28" s="135">
        <f t="shared" si="5"/>
        <v>1</v>
      </c>
      <c r="F28" s="136">
        <v>125</v>
      </c>
      <c r="G28" s="136">
        <f t="shared" si="6"/>
        <v>0</v>
      </c>
      <c r="H28" s="136">
        <v>0</v>
      </c>
      <c r="I28" s="136">
        <v>0</v>
      </c>
      <c r="J28" s="136">
        <v>0</v>
      </c>
      <c r="K28" s="136">
        <v>-150</v>
      </c>
      <c r="L28" s="136">
        <v>-255</v>
      </c>
      <c r="M28" s="136">
        <v>-255</v>
      </c>
      <c r="N28" s="136">
        <v>-255</v>
      </c>
      <c r="O28" s="136">
        <v>-140</v>
      </c>
      <c r="P28" s="136">
        <v>-160</v>
      </c>
      <c r="Q28" s="136">
        <v>-45</v>
      </c>
      <c r="R28" s="136">
        <v>0</v>
      </c>
      <c r="S28" s="136">
        <v>0</v>
      </c>
      <c r="T28" s="136">
        <v>0</v>
      </c>
      <c r="U28" s="136">
        <v>0</v>
      </c>
      <c r="V28" s="136">
        <v>0</v>
      </c>
      <c r="W28" s="136">
        <v>0</v>
      </c>
      <c r="X28" s="136">
        <v>0</v>
      </c>
      <c r="Y28" s="136">
        <v>0</v>
      </c>
      <c r="Z28" s="136">
        <v>0</v>
      </c>
      <c r="AA28" s="136">
        <v>0</v>
      </c>
      <c r="AB28" s="136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S9:AB11 S13:AB13 S15:AB17 S19:AB19 H8:AB8 H12:AB12 H14:AB14 H18:AB18" name="入力範囲_4_1_1_1_1_1"/>
    <protectedRange sqref="E8:E13" name="入力範囲_4_1_1_1_3_1_1"/>
    <protectedRange sqref="H20:AB20" name="入力範囲_4_1_1_1_1_1_1"/>
    <protectedRange sqref="E20" name="入力範囲_4_1_1_1_3_1_1_1"/>
    <protectedRange sqref="E14:E19 E25:E28" name="入力範囲_4_1_1_1_3_1_1_2"/>
    <protectedRange sqref="H9:R11" name="入力範囲_4_1_1_1_1_1_5"/>
    <protectedRange sqref="H13:R13" name="入力範囲_4_1_1_1_1_1_6"/>
    <protectedRange sqref="H15:R17" name="入力範囲_4_1_1_1_1_1_7"/>
    <protectedRange sqref="H19:R19" name="入力範囲_4_1_1_1_1_1_8"/>
    <protectedRange sqref="F8:G19" name="入力範囲_4_1_1_1_1_1_4_1"/>
    <protectedRange sqref="F20:G20" name="入力範囲_4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7"/>
  <dimension ref="A1:AB36"/>
  <sheetViews>
    <sheetView zoomScale="145" zoomScaleNormal="145" workbookViewId="0">
      <selection activeCell="O24" sqref="O24"/>
    </sheetView>
  </sheetViews>
  <sheetFormatPr defaultRowHeight="14.5"/>
  <cols>
    <col min="1" max="1" width="16.6328125" style="97" customWidth="1"/>
    <col min="2" max="28" width="8.6328125" style="97" customWidth="1"/>
    <col min="29" max="16384" width="8.7265625" style="97"/>
  </cols>
  <sheetData>
    <row r="1" spans="1:28" ht="15" thickBot="1">
      <c r="A1" s="92" t="s">
        <v>0</v>
      </c>
      <c r="B1" s="93" t="s">
        <v>43</v>
      </c>
      <c r="C1" s="94"/>
      <c r="D1" s="95"/>
      <c r="E1" s="96"/>
      <c r="F1" s="96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>
      <c r="A2" s="101">
        <v>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>
      <c r="A4" s="96"/>
      <c r="B4" s="109"/>
      <c r="C4" s="96"/>
      <c r="D4" s="96"/>
      <c r="E4" s="96"/>
      <c r="F4" s="96"/>
      <c r="G4" s="110" t="s">
        <v>119</v>
      </c>
      <c r="H4" s="111">
        <v>0</v>
      </c>
      <c r="I4" s="111">
        <f>H4+H5+H6</f>
        <v>2</v>
      </c>
      <c r="J4" s="111">
        <f t="shared" ref="J4:AB4" si="0">I4+I5+I6</f>
        <v>102</v>
      </c>
      <c r="K4" s="111">
        <f t="shared" si="0"/>
        <v>122</v>
      </c>
      <c r="L4" s="111">
        <f t="shared" si="0"/>
        <v>222</v>
      </c>
      <c r="M4" s="111">
        <f t="shared" si="0"/>
        <v>232</v>
      </c>
      <c r="N4" s="111">
        <f t="shared" si="0"/>
        <v>252</v>
      </c>
      <c r="O4" s="111">
        <f t="shared" si="0"/>
        <v>282</v>
      </c>
      <c r="P4" s="111">
        <f t="shared" si="0"/>
        <v>382</v>
      </c>
      <c r="Q4" s="111">
        <f t="shared" si="0"/>
        <v>482</v>
      </c>
      <c r="R4" s="111">
        <f t="shared" si="0"/>
        <v>582</v>
      </c>
      <c r="S4" s="111">
        <f t="shared" si="0"/>
        <v>682</v>
      </c>
      <c r="T4" s="111">
        <f t="shared" si="0"/>
        <v>782</v>
      </c>
      <c r="U4" s="111">
        <f t="shared" si="0"/>
        <v>792</v>
      </c>
      <c r="V4" s="111">
        <f t="shared" si="0"/>
        <v>794</v>
      </c>
      <c r="W4" s="111">
        <f t="shared" si="0"/>
        <v>796</v>
      </c>
      <c r="X4" s="111">
        <f t="shared" si="0"/>
        <v>821</v>
      </c>
      <c r="Y4" s="111">
        <f t="shared" si="0"/>
        <v>921</v>
      </c>
      <c r="Z4" s="111">
        <f t="shared" si="0"/>
        <v>1021</v>
      </c>
      <c r="AA4" s="111">
        <f t="shared" si="0"/>
        <v>1121</v>
      </c>
      <c r="AB4" s="111">
        <f t="shared" si="0"/>
        <v>1221</v>
      </c>
    </row>
    <row r="5" spans="1:28">
      <c r="A5" s="96"/>
      <c r="B5" s="109"/>
      <c r="C5" s="96"/>
      <c r="D5" s="96"/>
      <c r="F5" s="96"/>
      <c r="G5" s="112" t="s">
        <v>2</v>
      </c>
      <c r="H5" s="113">
        <v>2</v>
      </c>
      <c r="I5" s="113">
        <v>100</v>
      </c>
      <c r="J5" s="113">
        <v>20</v>
      </c>
      <c r="K5" s="113">
        <v>100</v>
      </c>
      <c r="L5" s="113">
        <v>10</v>
      </c>
      <c r="M5" s="113">
        <v>20</v>
      </c>
      <c r="N5" s="113">
        <v>30</v>
      </c>
      <c r="O5" s="113">
        <v>100</v>
      </c>
      <c r="P5" s="113">
        <v>100</v>
      </c>
      <c r="Q5" s="113">
        <v>100</v>
      </c>
      <c r="R5" s="113">
        <v>100</v>
      </c>
      <c r="S5" s="113">
        <v>100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>
      <c r="A6" s="96"/>
      <c r="B6" s="109"/>
      <c r="C6" s="96"/>
      <c r="D6" s="96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2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>
      <c r="A8" s="122" t="s">
        <v>109</v>
      </c>
      <c r="B8" s="123">
        <v>10</v>
      </c>
      <c r="C8" s="124">
        <v>-0.26</v>
      </c>
      <c r="D8" s="125">
        <v>1</v>
      </c>
      <c r="E8" s="126">
        <v>0</v>
      </c>
      <c r="F8" s="127">
        <v>-2</v>
      </c>
      <c r="G8" s="127">
        <v>0</v>
      </c>
      <c r="H8" s="127">
        <v>0</v>
      </c>
      <c r="I8" s="127">
        <v>0</v>
      </c>
      <c r="J8" s="127">
        <v>0</v>
      </c>
      <c r="K8" s="127">
        <v>5</v>
      </c>
      <c r="L8" s="127">
        <v>5</v>
      </c>
      <c r="M8" s="127">
        <v>0</v>
      </c>
      <c r="N8" s="127">
        <v>0</v>
      </c>
      <c r="O8" s="127">
        <v>0</v>
      </c>
      <c r="P8" s="127">
        <v>0</v>
      </c>
      <c r="Q8" s="127">
        <v>0</v>
      </c>
      <c r="R8" s="127">
        <v>0</v>
      </c>
      <c r="S8" s="127">
        <v>0</v>
      </c>
      <c r="T8" s="127">
        <v>0</v>
      </c>
      <c r="U8" s="127">
        <v>0</v>
      </c>
      <c r="V8" s="127">
        <v>0</v>
      </c>
      <c r="W8" s="127">
        <v>0</v>
      </c>
      <c r="X8" s="127">
        <v>0</v>
      </c>
      <c r="Y8" s="127">
        <v>0</v>
      </c>
      <c r="Z8" s="127">
        <v>0</v>
      </c>
      <c r="AA8" s="127">
        <v>0</v>
      </c>
      <c r="AB8" s="127">
        <v>0</v>
      </c>
    </row>
    <row r="9" spans="1:28">
      <c r="A9" s="122" t="s">
        <v>108</v>
      </c>
      <c r="B9" s="123">
        <v>9</v>
      </c>
      <c r="C9" s="124">
        <v>-0.18</v>
      </c>
      <c r="D9" s="125">
        <v>2</v>
      </c>
      <c r="E9" s="126">
        <v>1</v>
      </c>
      <c r="F9" s="127">
        <v>-9.5</v>
      </c>
      <c r="G9" s="127">
        <v>0.5</v>
      </c>
      <c r="H9" s="127">
        <v>0</v>
      </c>
      <c r="I9" s="127">
        <v>0</v>
      </c>
      <c r="J9" s="127">
        <v>-10</v>
      </c>
      <c r="K9" s="127">
        <v>-10</v>
      </c>
      <c r="L9" s="127">
        <v>-10</v>
      </c>
      <c r="M9" s="127">
        <v>5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>
      <c r="A10" s="122" t="s">
        <v>107</v>
      </c>
      <c r="B10" s="130">
        <v>8</v>
      </c>
      <c r="C10" s="124">
        <v>4.22</v>
      </c>
      <c r="D10" s="125">
        <v>3</v>
      </c>
      <c r="E10" s="126">
        <v>1</v>
      </c>
      <c r="F10" s="127">
        <v>11</v>
      </c>
      <c r="G10" s="127">
        <v>-1</v>
      </c>
      <c r="H10" s="127">
        <v>0</v>
      </c>
      <c r="I10" s="127">
        <v>0</v>
      </c>
      <c r="J10" s="127">
        <v>-30</v>
      </c>
      <c r="K10" s="127">
        <v>-30</v>
      </c>
      <c r="L10" s="127">
        <v>-25</v>
      </c>
      <c r="M10" s="127">
        <v>-30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>
      <c r="A11" s="122" t="s">
        <v>113</v>
      </c>
      <c r="B11" s="123">
        <v>7</v>
      </c>
      <c r="C11" s="124">
        <v>9.4</v>
      </c>
      <c r="D11" s="125">
        <v>4</v>
      </c>
      <c r="E11" s="126">
        <v>0</v>
      </c>
      <c r="F11" s="127">
        <v>6</v>
      </c>
      <c r="G11" s="127">
        <v>-1</v>
      </c>
      <c r="H11" s="127">
        <v>0</v>
      </c>
      <c r="I11" s="127">
        <v>0</v>
      </c>
      <c r="J11" s="127">
        <v>-35</v>
      </c>
      <c r="K11" s="127">
        <v>-35</v>
      </c>
      <c r="L11" s="127">
        <v>-30</v>
      </c>
      <c r="M11" s="127">
        <v>-35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>
      <c r="A12" s="122" t="s">
        <v>106</v>
      </c>
      <c r="B12" s="123">
        <v>6</v>
      </c>
      <c r="C12" s="124">
        <v>-0.18</v>
      </c>
      <c r="D12" s="125">
        <v>5</v>
      </c>
      <c r="E12" s="126">
        <v>0</v>
      </c>
      <c r="F12" s="127">
        <v>5</v>
      </c>
      <c r="G12" s="127">
        <v>-1</v>
      </c>
      <c r="H12" s="127">
        <v>0</v>
      </c>
      <c r="I12" s="127">
        <v>0</v>
      </c>
      <c r="J12" s="127">
        <v>0</v>
      </c>
      <c r="K12" s="127">
        <v>30</v>
      </c>
      <c r="L12" s="127">
        <v>30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>
      <c r="A13" s="122" t="s">
        <v>105</v>
      </c>
      <c r="B13" s="123">
        <v>2</v>
      </c>
      <c r="C13" s="124">
        <v>0.97</v>
      </c>
      <c r="D13" s="125">
        <v>6</v>
      </c>
      <c r="E13" s="126">
        <v>1</v>
      </c>
      <c r="F13" s="127">
        <v>10</v>
      </c>
      <c r="G13" s="127">
        <v>-1</v>
      </c>
      <c r="H13" s="127">
        <v>0</v>
      </c>
      <c r="I13" s="127">
        <v>0</v>
      </c>
      <c r="J13" s="127">
        <v>10</v>
      </c>
      <c r="K13" s="127">
        <v>5</v>
      </c>
      <c r="L13" s="127">
        <v>5</v>
      </c>
      <c r="M13" s="127">
        <v>-5</v>
      </c>
      <c r="N13" s="127">
        <v>0</v>
      </c>
      <c r="O13" s="127">
        <v>0</v>
      </c>
      <c r="P13" s="127">
        <v>0</v>
      </c>
      <c r="Q13" s="127">
        <v>0</v>
      </c>
      <c r="R13" s="127">
        <v>0</v>
      </c>
      <c r="S13" s="127">
        <v>0</v>
      </c>
      <c r="T13" s="127">
        <v>0</v>
      </c>
      <c r="U13" s="127">
        <v>0</v>
      </c>
      <c r="V13" s="127">
        <v>0</v>
      </c>
      <c r="W13" s="127">
        <v>0</v>
      </c>
      <c r="X13" s="127">
        <v>0</v>
      </c>
      <c r="Y13" s="127">
        <v>0</v>
      </c>
      <c r="Z13" s="127">
        <v>0</v>
      </c>
      <c r="AA13" s="127">
        <v>0</v>
      </c>
      <c r="AB13" s="127">
        <v>0</v>
      </c>
    </row>
    <row r="14" spans="1:28" s="137" customFormat="1">
      <c r="A14" s="131" t="s">
        <v>110</v>
      </c>
      <c r="B14" s="132">
        <v>15</v>
      </c>
      <c r="C14" s="133">
        <v>0.18</v>
      </c>
      <c r="D14" s="134">
        <v>1</v>
      </c>
      <c r="E14" s="135">
        <f>IF(E8=0,1,0)</f>
        <v>1</v>
      </c>
      <c r="F14" s="136">
        <v>-2</v>
      </c>
      <c r="G14" s="136">
        <v>0</v>
      </c>
      <c r="H14" s="136">
        <v>0</v>
      </c>
      <c r="I14" s="136">
        <v>0</v>
      </c>
      <c r="J14" s="136">
        <v>0</v>
      </c>
      <c r="K14" s="136">
        <v>5</v>
      </c>
      <c r="L14" s="136">
        <v>5</v>
      </c>
      <c r="M14" s="136">
        <v>0</v>
      </c>
      <c r="N14" s="136">
        <v>0</v>
      </c>
      <c r="O14" s="136">
        <v>0</v>
      </c>
      <c r="P14" s="136">
        <v>0</v>
      </c>
      <c r="Q14" s="136">
        <v>0</v>
      </c>
      <c r="R14" s="136">
        <v>0</v>
      </c>
      <c r="S14" s="136">
        <v>0</v>
      </c>
      <c r="T14" s="136">
        <v>0</v>
      </c>
      <c r="U14" s="136">
        <v>0</v>
      </c>
      <c r="V14" s="136">
        <v>0</v>
      </c>
      <c r="W14" s="136">
        <v>0</v>
      </c>
      <c r="X14" s="136">
        <v>0</v>
      </c>
      <c r="Y14" s="136">
        <v>0</v>
      </c>
      <c r="Z14" s="136">
        <v>0</v>
      </c>
      <c r="AA14" s="136">
        <v>0</v>
      </c>
      <c r="AB14" s="136">
        <v>0</v>
      </c>
    </row>
    <row r="15" spans="1:28" s="137" customFormat="1">
      <c r="A15" s="131" t="s">
        <v>111</v>
      </c>
      <c r="B15" s="132">
        <v>14</v>
      </c>
      <c r="C15" s="133">
        <v>0.18</v>
      </c>
      <c r="D15" s="134">
        <v>2</v>
      </c>
      <c r="E15" s="135">
        <f t="shared" ref="E15:E18" si="1">IF(E9=0,1,0)</f>
        <v>0</v>
      </c>
      <c r="F15" s="136">
        <v>-9.5</v>
      </c>
      <c r="G15" s="136">
        <v>-0.5</v>
      </c>
      <c r="H15" s="136">
        <v>0</v>
      </c>
      <c r="I15" s="136">
        <v>0</v>
      </c>
      <c r="J15" s="136">
        <v>-10</v>
      </c>
      <c r="K15" s="136">
        <v>-10</v>
      </c>
      <c r="L15" s="136">
        <v>-10</v>
      </c>
      <c r="M15" s="136">
        <v>5</v>
      </c>
      <c r="N15" s="136">
        <v>0</v>
      </c>
      <c r="O15" s="136">
        <v>0</v>
      </c>
      <c r="P15" s="136">
        <v>0</v>
      </c>
      <c r="Q15" s="136">
        <v>0</v>
      </c>
      <c r="R15" s="136">
        <v>0</v>
      </c>
      <c r="S15" s="136">
        <v>0</v>
      </c>
      <c r="T15" s="136">
        <v>0</v>
      </c>
      <c r="U15" s="136">
        <v>0</v>
      </c>
      <c r="V15" s="136">
        <v>0</v>
      </c>
      <c r="W15" s="136">
        <v>0</v>
      </c>
      <c r="X15" s="136">
        <v>0</v>
      </c>
      <c r="Y15" s="136">
        <v>0</v>
      </c>
      <c r="Z15" s="136">
        <v>0</v>
      </c>
      <c r="AA15" s="136">
        <v>0</v>
      </c>
      <c r="AB15" s="136">
        <v>0</v>
      </c>
    </row>
    <row r="16" spans="1:28" s="137" customFormat="1">
      <c r="A16" s="131" t="s">
        <v>112</v>
      </c>
      <c r="B16" s="138">
        <v>13</v>
      </c>
      <c r="C16" s="133">
        <v>-6.06</v>
      </c>
      <c r="D16" s="134">
        <v>3</v>
      </c>
      <c r="E16" s="135">
        <f t="shared" si="1"/>
        <v>0</v>
      </c>
      <c r="F16" s="136">
        <v>11</v>
      </c>
      <c r="G16" s="136">
        <v>1</v>
      </c>
      <c r="H16" s="136">
        <v>0</v>
      </c>
      <c r="I16" s="136">
        <v>0</v>
      </c>
      <c r="J16" s="136">
        <v>-30</v>
      </c>
      <c r="K16" s="136">
        <v>-30</v>
      </c>
      <c r="L16" s="136">
        <v>-25</v>
      </c>
      <c r="M16" s="136">
        <v>-30</v>
      </c>
      <c r="N16" s="136">
        <v>0</v>
      </c>
      <c r="O16" s="136">
        <v>0</v>
      </c>
      <c r="P16" s="136">
        <v>0</v>
      </c>
      <c r="Q16" s="136">
        <v>0</v>
      </c>
      <c r="R16" s="136">
        <v>0</v>
      </c>
      <c r="S16" s="136">
        <v>0</v>
      </c>
      <c r="T16" s="136">
        <v>0</v>
      </c>
      <c r="U16" s="136">
        <v>0</v>
      </c>
      <c r="V16" s="136">
        <v>0</v>
      </c>
      <c r="W16" s="136">
        <v>0</v>
      </c>
      <c r="X16" s="136">
        <v>0</v>
      </c>
      <c r="Y16" s="136">
        <v>0</v>
      </c>
      <c r="Z16" s="136">
        <v>0</v>
      </c>
      <c r="AA16" s="136">
        <v>0</v>
      </c>
      <c r="AB16" s="136">
        <v>0</v>
      </c>
    </row>
    <row r="17" spans="1:28" s="137" customFormat="1">
      <c r="A17" s="131" t="s">
        <v>114</v>
      </c>
      <c r="B17" s="132">
        <v>12</v>
      </c>
      <c r="C17" s="133">
        <v>9.0500000000000007</v>
      </c>
      <c r="D17" s="134">
        <v>4</v>
      </c>
      <c r="E17" s="135">
        <f t="shared" si="1"/>
        <v>1</v>
      </c>
      <c r="F17" s="136">
        <v>6</v>
      </c>
      <c r="G17" s="136">
        <v>1</v>
      </c>
      <c r="H17" s="136">
        <v>0</v>
      </c>
      <c r="I17" s="136">
        <v>0</v>
      </c>
      <c r="J17" s="136">
        <v>-35</v>
      </c>
      <c r="K17" s="136">
        <v>-35</v>
      </c>
      <c r="L17" s="136">
        <v>-30</v>
      </c>
      <c r="M17" s="136">
        <v>-35</v>
      </c>
      <c r="N17" s="136">
        <v>0</v>
      </c>
      <c r="O17" s="136">
        <v>0</v>
      </c>
      <c r="P17" s="136">
        <v>0</v>
      </c>
      <c r="Q17" s="136">
        <v>0</v>
      </c>
      <c r="R17" s="136">
        <v>0</v>
      </c>
      <c r="S17" s="136">
        <v>0</v>
      </c>
      <c r="T17" s="136">
        <v>0</v>
      </c>
      <c r="U17" s="136">
        <v>0</v>
      </c>
      <c r="V17" s="136">
        <v>0</v>
      </c>
      <c r="W17" s="136">
        <v>0</v>
      </c>
      <c r="X17" s="136">
        <v>0</v>
      </c>
      <c r="Y17" s="136">
        <v>0</v>
      </c>
      <c r="Z17" s="136">
        <v>0</v>
      </c>
      <c r="AA17" s="136">
        <v>0</v>
      </c>
      <c r="AB17" s="136">
        <v>0</v>
      </c>
    </row>
    <row r="18" spans="1:28" s="137" customFormat="1">
      <c r="A18" s="131" t="s">
        <v>115</v>
      </c>
      <c r="B18" s="132">
        <v>11</v>
      </c>
      <c r="C18" s="133">
        <v>0.44</v>
      </c>
      <c r="D18" s="134">
        <v>5</v>
      </c>
      <c r="E18" s="135">
        <f t="shared" si="1"/>
        <v>1</v>
      </c>
      <c r="F18" s="136">
        <v>5</v>
      </c>
      <c r="G18" s="136">
        <v>1</v>
      </c>
      <c r="H18" s="136">
        <v>0</v>
      </c>
      <c r="I18" s="136">
        <v>0</v>
      </c>
      <c r="J18" s="136">
        <v>0</v>
      </c>
      <c r="K18" s="136">
        <v>30</v>
      </c>
      <c r="L18" s="136">
        <v>30</v>
      </c>
      <c r="M18" s="136">
        <v>0</v>
      </c>
      <c r="N18" s="136">
        <v>0</v>
      </c>
      <c r="O18" s="136">
        <v>0</v>
      </c>
      <c r="P18" s="136">
        <v>0</v>
      </c>
      <c r="Q18" s="136">
        <v>0</v>
      </c>
      <c r="R18" s="136">
        <v>0</v>
      </c>
      <c r="S18" s="136">
        <v>0</v>
      </c>
      <c r="T18" s="136">
        <v>0</v>
      </c>
      <c r="U18" s="136">
        <v>0</v>
      </c>
      <c r="V18" s="136">
        <v>0</v>
      </c>
      <c r="W18" s="136">
        <v>0</v>
      </c>
      <c r="X18" s="136">
        <v>0</v>
      </c>
      <c r="Y18" s="136">
        <v>0</v>
      </c>
      <c r="Z18" s="136">
        <v>0</v>
      </c>
      <c r="AA18" s="136">
        <v>0</v>
      </c>
      <c r="AB18" s="136">
        <v>0</v>
      </c>
    </row>
    <row r="19" spans="1:28" s="137" customFormat="1">
      <c r="A19" s="131" t="s">
        <v>116</v>
      </c>
      <c r="B19" s="132">
        <v>3</v>
      </c>
      <c r="C19" s="133">
        <v>0.7</v>
      </c>
      <c r="D19" s="134">
        <v>6</v>
      </c>
      <c r="E19" s="135">
        <f>E13</f>
        <v>1</v>
      </c>
      <c r="F19" s="136">
        <v>10</v>
      </c>
      <c r="G19" s="136">
        <v>1</v>
      </c>
      <c r="H19" s="136">
        <v>0</v>
      </c>
      <c r="I19" s="136">
        <v>0</v>
      </c>
      <c r="J19" s="136">
        <v>10</v>
      </c>
      <c r="K19" s="136">
        <v>5</v>
      </c>
      <c r="L19" s="136">
        <v>5</v>
      </c>
      <c r="M19" s="136">
        <v>-5</v>
      </c>
      <c r="N19" s="136">
        <v>0</v>
      </c>
      <c r="O19" s="136">
        <v>0</v>
      </c>
      <c r="P19" s="136">
        <v>0</v>
      </c>
      <c r="Q19" s="136">
        <v>0</v>
      </c>
      <c r="R19" s="136">
        <v>0</v>
      </c>
      <c r="S19" s="136">
        <v>0</v>
      </c>
      <c r="T19" s="136">
        <v>0</v>
      </c>
      <c r="U19" s="136">
        <v>0</v>
      </c>
      <c r="V19" s="136">
        <v>0</v>
      </c>
      <c r="W19" s="136">
        <v>0</v>
      </c>
      <c r="X19" s="136">
        <v>0</v>
      </c>
      <c r="Y19" s="136">
        <v>0</v>
      </c>
      <c r="Z19" s="136">
        <v>0</v>
      </c>
      <c r="AA19" s="136">
        <v>0</v>
      </c>
      <c r="AB19" s="136">
        <v>0</v>
      </c>
    </row>
    <row r="20" spans="1:28">
      <c r="A20" s="139" t="s">
        <v>96</v>
      </c>
      <c r="B20" s="140">
        <v>1</v>
      </c>
      <c r="C20" s="141">
        <v>-0.09</v>
      </c>
      <c r="D20" s="142" t="s">
        <v>45</v>
      </c>
      <c r="E20" s="143">
        <v>1</v>
      </c>
      <c r="F20" s="129">
        <v>1</v>
      </c>
      <c r="G20" s="129">
        <v>0</v>
      </c>
      <c r="H20" s="129">
        <v>0</v>
      </c>
      <c r="I20" s="129">
        <v>0</v>
      </c>
      <c r="J20" s="129">
        <v>0</v>
      </c>
      <c r="K20" s="129">
        <v>0</v>
      </c>
      <c r="L20" s="129">
        <v>0</v>
      </c>
      <c r="M20" s="129">
        <v>0</v>
      </c>
      <c r="N20" s="129">
        <v>0</v>
      </c>
      <c r="O20" s="129">
        <v>0</v>
      </c>
      <c r="P20" s="129">
        <v>0</v>
      </c>
      <c r="Q20" s="129">
        <v>0</v>
      </c>
      <c r="R20" s="129">
        <v>0</v>
      </c>
      <c r="S20" s="129">
        <v>0</v>
      </c>
      <c r="T20" s="129">
        <v>0</v>
      </c>
      <c r="U20" s="129">
        <v>0</v>
      </c>
      <c r="V20" s="129">
        <v>0</v>
      </c>
      <c r="W20" s="129">
        <v>0</v>
      </c>
      <c r="X20" s="129">
        <v>0</v>
      </c>
      <c r="Y20" s="129">
        <v>0</v>
      </c>
      <c r="Z20" s="129">
        <v>0</v>
      </c>
      <c r="AA20" s="129">
        <v>0</v>
      </c>
      <c r="AB20" s="129">
        <v>0</v>
      </c>
    </row>
    <row r="21" spans="1:28">
      <c r="A21" s="122" t="s">
        <v>97</v>
      </c>
      <c r="B21" s="130">
        <v>4</v>
      </c>
      <c r="C21" s="124">
        <v>49.13</v>
      </c>
      <c r="D21" s="125">
        <v>5</v>
      </c>
      <c r="E21" s="126">
        <v>0</v>
      </c>
      <c r="F21" s="127">
        <v>50</v>
      </c>
      <c r="G21" s="127">
        <v>0</v>
      </c>
      <c r="H21" s="127">
        <v>0</v>
      </c>
      <c r="I21" s="127">
        <v>0</v>
      </c>
      <c r="J21" s="127">
        <v>10</v>
      </c>
      <c r="K21" s="127">
        <v>0</v>
      </c>
      <c r="L21" s="127">
        <v>-15</v>
      </c>
      <c r="M21" s="127">
        <v>-20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>
      <c r="A22" s="122" t="s">
        <v>98</v>
      </c>
      <c r="B22" s="123">
        <v>16</v>
      </c>
      <c r="C22" s="124">
        <v>-0.18</v>
      </c>
      <c r="D22" s="125">
        <v>6</v>
      </c>
      <c r="E22" s="126">
        <v>0</v>
      </c>
      <c r="F22" s="127">
        <v>5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10</v>
      </c>
      <c r="M22" s="127">
        <v>20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>
      <c r="A23" s="122" t="s">
        <v>99</v>
      </c>
      <c r="B23" s="123">
        <v>18</v>
      </c>
      <c r="C23" s="124">
        <v>129.99</v>
      </c>
      <c r="D23" s="125">
        <v>7</v>
      </c>
      <c r="E23" s="126">
        <v>1</v>
      </c>
      <c r="F23" s="127">
        <v>125</v>
      </c>
      <c r="G23" s="127">
        <v>0</v>
      </c>
      <c r="H23" s="127">
        <v>0</v>
      </c>
      <c r="I23" s="127">
        <v>0</v>
      </c>
      <c r="J23" s="127">
        <v>0</v>
      </c>
      <c r="K23" s="127">
        <v>-110</v>
      </c>
      <c r="L23" s="127">
        <v>-110</v>
      </c>
      <c r="M23" s="127">
        <v>0</v>
      </c>
      <c r="N23" s="127">
        <v>0</v>
      </c>
      <c r="O23" s="127">
        <v>0</v>
      </c>
      <c r="P23" s="127">
        <v>0</v>
      </c>
      <c r="Q23" s="127">
        <v>0</v>
      </c>
      <c r="R23" s="127">
        <v>0</v>
      </c>
      <c r="S23" s="127">
        <v>0</v>
      </c>
      <c r="T23" s="127">
        <v>0</v>
      </c>
      <c r="U23" s="127">
        <v>0</v>
      </c>
      <c r="V23" s="127">
        <v>0</v>
      </c>
      <c r="W23" s="127">
        <v>0</v>
      </c>
      <c r="X23" s="127">
        <v>0</v>
      </c>
      <c r="Y23" s="127">
        <v>0</v>
      </c>
      <c r="Z23" s="127">
        <v>0</v>
      </c>
      <c r="AA23" s="127">
        <v>0</v>
      </c>
      <c r="AB23" s="127">
        <v>0</v>
      </c>
    </row>
    <row r="24" spans="1:28">
      <c r="A24" s="122" t="s">
        <v>100</v>
      </c>
      <c r="B24" s="123">
        <v>17</v>
      </c>
      <c r="C24" s="124">
        <v>129.9</v>
      </c>
      <c r="D24" s="125">
        <v>8</v>
      </c>
      <c r="E24" s="126">
        <v>0</v>
      </c>
      <c r="F24" s="127">
        <v>125</v>
      </c>
      <c r="G24" s="127">
        <v>0</v>
      </c>
      <c r="H24" s="127">
        <v>0</v>
      </c>
      <c r="I24" s="127">
        <v>0</v>
      </c>
      <c r="J24" s="127">
        <v>0</v>
      </c>
      <c r="K24" s="127">
        <v>-120</v>
      </c>
      <c r="L24" s="127">
        <v>-120</v>
      </c>
      <c r="M24" s="127">
        <v>0</v>
      </c>
      <c r="N24" s="127">
        <v>0</v>
      </c>
      <c r="O24" s="127">
        <v>0</v>
      </c>
      <c r="P24" s="127">
        <v>0</v>
      </c>
      <c r="Q24" s="127">
        <v>0</v>
      </c>
      <c r="R24" s="127">
        <v>0</v>
      </c>
      <c r="S24" s="127">
        <v>0</v>
      </c>
      <c r="T24" s="127">
        <v>0</v>
      </c>
      <c r="U24" s="127">
        <v>0</v>
      </c>
      <c r="V24" s="127">
        <v>0</v>
      </c>
      <c r="W24" s="127">
        <v>0</v>
      </c>
      <c r="X24" s="127">
        <v>0</v>
      </c>
      <c r="Y24" s="127">
        <v>0</v>
      </c>
      <c r="Z24" s="127">
        <v>0</v>
      </c>
      <c r="AA24" s="127">
        <v>0</v>
      </c>
      <c r="AB24" s="127">
        <v>0</v>
      </c>
    </row>
    <row r="25" spans="1:28">
      <c r="A25" s="131" t="s">
        <v>101</v>
      </c>
      <c r="B25" s="132">
        <v>5</v>
      </c>
      <c r="C25" s="133">
        <v>-49.48</v>
      </c>
      <c r="D25" s="134">
        <v>5</v>
      </c>
      <c r="E25" s="135">
        <f t="shared" ref="E25:E28" si="2">IF(E21=0,1,0)</f>
        <v>1</v>
      </c>
      <c r="F25" s="136">
        <v>50</v>
      </c>
      <c r="G25" s="136">
        <f>G21</f>
        <v>0</v>
      </c>
      <c r="H25" s="136">
        <v>0</v>
      </c>
      <c r="I25" s="136">
        <v>0</v>
      </c>
      <c r="J25" s="136">
        <f>J21</f>
        <v>10</v>
      </c>
      <c r="K25" s="136">
        <f t="shared" ref="K25:N25" si="3">K21</f>
        <v>0</v>
      </c>
      <c r="L25" s="136">
        <f t="shared" si="3"/>
        <v>-15</v>
      </c>
      <c r="M25" s="136">
        <f t="shared" si="3"/>
        <v>-20</v>
      </c>
      <c r="N25" s="136">
        <f t="shared" si="3"/>
        <v>0</v>
      </c>
      <c r="O25" s="136">
        <v>0</v>
      </c>
      <c r="P25" s="136">
        <v>0</v>
      </c>
      <c r="Q25" s="136">
        <v>0</v>
      </c>
      <c r="R25" s="136">
        <v>0</v>
      </c>
      <c r="S25" s="136">
        <v>0</v>
      </c>
      <c r="T25" s="136">
        <v>0</v>
      </c>
      <c r="U25" s="136">
        <v>0</v>
      </c>
      <c r="V25" s="136">
        <v>0</v>
      </c>
      <c r="W25" s="136">
        <v>0</v>
      </c>
      <c r="X25" s="136">
        <v>0</v>
      </c>
      <c r="Y25" s="136">
        <v>0</v>
      </c>
      <c r="Z25" s="136">
        <v>0</v>
      </c>
      <c r="AA25" s="136">
        <v>0</v>
      </c>
      <c r="AB25" s="136">
        <v>0</v>
      </c>
    </row>
    <row r="26" spans="1:28">
      <c r="A26" s="131" t="s">
        <v>102</v>
      </c>
      <c r="B26" s="132">
        <v>19</v>
      </c>
      <c r="C26" s="133">
        <v>-0.18</v>
      </c>
      <c r="D26" s="134">
        <v>6</v>
      </c>
      <c r="E26" s="135">
        <f t="shared" si="2"/>
        <v>1</v>
      </c>
      <c r="F26" s="136">
        <v>5</v>
      </c>
      <c r="G26" s="136">
        <f t="shared" ref="G26:G28" si="4">G22</f>
        <v>0</v>
      </c>
      <c r="H26" s="136">
        <v>0</v>
      </c>
      <c r="I26" s="136">
        <v>0</v>
      </c>
      <c r="J26" s="136">
        <f t="shared" ref="J26:N26" si="5">J22</f>
        <v>0</v>
      </c>
      <c r="K26" s="136">
        <f t="shared" si="5"/>
        <v>0</v>
      </c>
      <c r="L26" s="136">
        <f t="shared" si="5"/>
        <v>10</v>
      </c>
      <c r="M26" s="136">
        <f t="shared" si="5"/>
        <v>20</v>
      </c>
      <c r="N26" s="136">
        <f t="shared" si="5"/>
        <v>0</v>
      </c>
      <c r="O26" s="136">
        <v>0</v>
      </c>
      <c r="P26" s="136">
        <v>0</v>
      </c>
      <c r="Q26" s="136">
        <v>0</v>
      </c>
      <c r="R26" s="136">
        <v>0</v>
      </c>
      <c r="S26" s="136">
        <v>0</v>
      </c>
      <c r="T26" s="136">
        <v>0</v>
      </c>
      <c r="U26" s="136">
        <v>0</v>
      </c>
      <c r="V26" s="136">
        <v>0</v>
      </c>
      <c r="W26" s="136">
        <v>0</v>
      </c>
      <c r="X26" s="136">
        <v>0</v>
      </c>
      <c r="Y26" s="136">
        <v>0</v>
      </c>
      <c r="Z26" s="136">
        <v>0</v>
      </c>
      <c r="AA26" s="136">
        <v>0</v>
      </c>
      <c r="AB26" s="136">
        <v>0</v>
      </c>
    </row>
    <row r="27" spans="1:28">
      <c r="A27" s="131" t="s">
        <v>103</v>
      </c>
      <c r="B27" s="132">
        <v>21</v>
      </c>
      <c r="C27" s="133">
        <v>130.08000000000001</v>
      </c>
      <c r="D27" s="134">
        <v>7</v>
      </c>
      <c r="E27" s="135">
        <f t="shared" si="2"/>
        <v>0</v>
      </c>
      <c r="F27" s="136">
        <v>125</v>
      </c>
      <c r="G27" s="136">
        <f t="shared" si="4"/>
        <v>0</v>
      </c>
      <c r="H27" s="136">
        <v>0</v>
      </c>
      <c r="I27" s="136">
        <v>0</v>
      </c>
      <c r="J27" s="136">
        <f t="shared" ref="J27:N27" si="6">J23</f>
        <v>0</v>
      </c>
      <c r="K27" s="136">
        <f t="shared" si="6"/>
        <v>-110</v>
      </c>
      <c r="L27" s="136">
        <f t="shared" si="6"/>
        <v>-110</v>
      </c>
      <c r="M27" s="136">
        <f t="shared" si="6"/>
        <v>0</v>
      </c>
      <c r="N27" s="136">
        <f t="shared" si="6"/>
        <v>0</v>
      </c>
      <c r="O27" s="136">
        <v>0</v>
      </c>
      <c r="P27" s="136">
        <v>0</v>
      </c>
      <c r="Q27" s="136">
        <v>0</v>
      </c>
      <c r="R27" s="136">
        <v>0</v>
      </c>
      <c r="S27" s="136">
        <v>0</v>
      </c>
      <c r="T27" s="136">
        <v>0</v>
      </c>
      <c r="U27" s="136">
        <v>0</v>
      </c>
      <c r="V27" s="136">
        <v>0</v>
      </c>
      <c r="W27" s="136">
        <v>0</v>
      </c>
      <c r="X27" s="136">
        <v>0</v>
      </c>
      <c r="Y27" s="136">
        <v>0</v>
      </c>
      <c r="Z27" s="136">
        <v>0</v>
      </c>
      <c r="AA27" s="136">
        <v>0</v>
      </c>
      <c r="AB27" s="136">
        <v>0</v>
      </c>
    </row>
    <row r="28" spans="1:28">
      <c r="A28" s="131" t="s">
        <v>104</v>
      </c>
      <c r="B28" s="132">
        <v>20</v>
      </c>
      <c r="C28" s="133">
        <v>129.99</v>
      </c>
      <c r="D28" s="134">
        <v>8</v>
      </c>
      <c r="E28" s="135">
        <f t="shared" si="2"/>
        <v>1</v>
      </c>
      <c r="F28" s="136">
        <v>125</v>
      </c>
      <c r="G28" s="136">
        <f t="shared" si="4"/>
        <v>0</v>
      </c>
      <c r="H28" s="136">
        <v>0</v>
      </c>
      <c r="I28" s="136">
        <v>0</v>
      </c>
      <c r="J28" s="136">
        <f t="shared" ref="J28:N28" si="7">J24</f>
        <v>0</v>
      </c>
      <c r="K28" s="136">
        <f t="shared" si="7"/>
        <v>-120</v>
      </c>
      <c r="L28" s="136">
        <f t="shared" si="7"/>
        <v>-120</v>
      </c>
      <c r="M28" s="136">
        <f t="shared" si="7"/>
        <v>0</v>
      </c>
      <c r="N28" s="136">
        <f t="shared" si="7"/>
        <v>0</v>
      </c>
      <c r="O28" s="136">
        <v>0</v>
      </c>
      <c r="P28" s="136">
        <v>0</v>
      </c>
      <c r="Q28" s="136">
        <v>0</v>
      </c>
      <c r="R28" s="136">
        <v>0</v>
      </c>
      <c r="S28" s="136">
        <v>0</v>
      </c>
      <c r="T28" s="136">
        <v>0</v>
      </c>
      <c r="U28" s="136">
        <v>0</v>
      </c>
      <c r="V28" s="136">
        <v>0</v>
      </c>
      <c r="W28" s="136">
        <v>0</v>
      </c>
      <c r="X28" s="136">
        <v>0</v>
      </c>
      <c r="Y28" s="136">
        <v>0</v>
      </c>
      <c r="Z28" s="136">
        <v>0</v>
      </c>
      <c r="AA28" s="136">
        <v>0</v>
      </c>
      <c r="AB28" s="136">
        <v>0</v>
      </c>
    </row>
    <row r="29" spans="1:28"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</row>
    <row r="30" spans="1:28"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</row>
    <row r="31" spans="1:28"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</row>
    <row r="32" spans="1:28"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</row>
    <row r="33" spans="10:26"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</row>
    <row r="34" spans="10:26"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</row>
    <row r="35" spans="10:26"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</row>
    <row r="36" spans="10:26"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</row>
  </sheetData>
  <protectedRanges>
    <protectedRange sqref="H8:AB8 H12:AB12 O9:AB11 O13:AB13 H14:AB19" name="入力範囲_4_1_1_1_1_1"/>
    <protectedRange sqref="E8:E13" name="入力範囲_4_1_1_1_3_1_1"/>
    <protectedRange sqref="H20:AB20" name="入力範囲_4_1_1_1_1_1_1"/>
    <protectedRange sqref="E20" name="入力範囲_4_1_1_1_3_1_1_1"/>
    <protectedRange sqref="E14:E19 E25:E28" name="入力範囲_4_1_1_1_3_1_1_2"/>
    <protectedRange sqref="H9:N11" name="入力範囲_4_1_1_1_1_1_2"/>
    <protectedRange sqref="H13:N13" name="入力範囲_4_1_1_1_1_1_3"/>
    <protectedRange sqref="F8:G19" name="入力範囲_4_1_1_1_1_1_4_1"/>
    <protectedRange sqref="F20:G20" name="入力範囲_4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8"/>
  <dimension ref="A1:AB41"/>
  <sheetViews>
    <sheetView tabSelected="1" zoomScale="145" zoomScaleNormal="145" workbookViewId="0">
      <selection activeCell="J14" sqref="J14:J17"/>
    </sheetView>
  </sheetViews>
  <sheetFormatPr defaultRowHeight="14.5"/>
  <cols>
    <col min="1" max="1" width="16.6328125" style="97" customWidth="1"/>
    <col min="2" max="28" width="8.6328125" style="97" customWidth="1"/>
    <col min="29" max="16384" width="8.7265625" style="97"/>
  </cols>
  <sheetData>
    <row r="1" spans="1:28" ht="15" thickBot="1">
      <c r="A1" s="92" t="s">
        <v>0</v>
      </c>
      <c r="B1" s="93" t="s">
        <v>43</v>
      </c>
      <c r="C1" s="94"/>
      <c r="D1" s="95"/>
      <c r="E1" s="96"/>
      <c r="F1" s="96"/>
      <c r="H1" s="98"/>
      <c r="I1" s="99"/>
      <c r="J1" s="99"/>
      <c r="K1" s="99"/>
      <c r="L1" s="99"/>
      <c r="M1" s="99"/>
      <c r="N1" s="99"/>
      <c r="O1" s="99"/>
      <c r="P1" s="99"/>
      <c r="Q1" s="99">
        <v>4</v>
      </c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>
      <c r="A2" s="101">
        <v>5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>
      <c r="A4" s="96"/>
      <c r="B4" s="109"/>
      <c r="C4" s="96"/>
      <c r="D4" s="96"/>
      <c r="E4" s="96"/>
      <c r="F4" s="96"/>
      <c r="G4" s="110" t="s">
        <v>117</v>
      </c>
      <c r="H4" s="111">
        <v>0</v>
      </c>
      <c r="I4" s="111">
        <f>H4+H5+H6</f>
        <v>2</v>
      </c>
      <c r="J4" s="111">
        <f t="shared" ref="J4:AB4" si="0">I4+I5+I6</f>
        <v>12</v>
      </c>
      <c r="K4" s="111">
        <f t="shared" si="0"/>
        <v>18</v>
      </c>
      <c r="L4" s="111">
        <f t="shared" si="0"/>
        <v>24</v>
      </c>
      <c r="M4" s="111">
        <f t="shared" si="0"/>
        <v>29</v>
      </c>
      <c r="N4" s="111">
        <f t="shared" si="0"/>
        <v>33</v>
      </c>
      <c r="O4" s="111">
        <f t="shared" si="0"/>
        <v>39</v>
      </c>
      <c r="P4" s="111">
        <f t="shared" si="0"/>
        <v>44</v>
      </c>
      <c r="Q4" s="111">
        <f t="shared" si="0"/>
        <v>48</v>
      </c>
      <c r="R4" s="111">
        <f t="shared" si="0"/>
        <v>54</v>
      </c>
      <c r="S4" s="111">
        <f t="shared" si="0"/>
        <v>69</v>
      </c>
      <c r="T4" s="111">
        <f t="shared" si="0"/>
        <v>79</v>
      </c>
      <c r="U4" s="111">
        <f t="shared" si="0"/>
        <v>81</v>
      </c>
      <c r="V4" s="111">
        <f t="shared" si="0"/>
        <v>83</v>
      </c>
      <c r="W4" s="111">
        <f t="shared" si="0"/>
        <v>85</v>
      </c>
      <c r="X4" s="111">
        <f t="shared" si="0"/>
        <v>110</v>
      </c>
      <c r="Y4" s="111">
        <f t="shared" si="0"/>
        <v>210</v>
      </c>
      <c r="Z4" s="111">
        <f t="shared" si="0"/>
        <v>310</v>
      </c>
      <c r="AA4" s="111">
        <f t="shared" si="0"/>
        <v>410</v>
      </c>
      <c r="AB4" s="111">
        <f t="shared" si="0"/>
        <v>510</v>
      </c>
    </row>
    <row r="5" spans="1:28">
      <c r="A5" s="96"/>
      <c r="B5" s="109"/>
      <c r="C5" s="96"/>
      <c r="D5" s="96"/>
      <c r="F5" s="96"/>
      <c r="G5" s="112" t="s">
        <v>2</v>
      </c>
      <c r="H5" s="113">
        <v>2</v>
      </c>
      <c r="I5" s="113">
        <v>10</v>
      </c>
      <c r="J5" s="113">
        <v>6</v>
      </c>
      <c r="K5" s="113">
        <v>0</v>
      </c>
      <c r="L5" s="113">
        <v>5</v>
      </c>
      <c r="M5" s="113">
        <v>4</v>
      </c>
      <c r="N5" s="113">
        <v>0</v>
      </c>
      <c r="O5" s="113">
        <f>L5</f>
        <v>5</v>
      </c>
      <c r="P5" s="113">
        <f t="shared" ref="P5:Q6" si="1">M5</f>
        <v>4</v>
      </c>
      <c r="Q5" s="113">
        <f t="shared" si="1"/>
        <v>0</v>
      </c>
      <c r="R5" s="113">
        <v>15</v>
      </c>
      <c r="S5" s="113">
        <v>10</v>
      </c>
      <c r="T5" s="113">
        <v>2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>
      <c r="A6" s="96"/>
      <c r="B6" s="109"/>
      <c r="C6" s="96"/>
      <c r="D6" s="96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6</v>
      </c>
      <c r="L6" s="113">
        <v>0</v>
      </c>
      <c r="M6" s="113">
        <v>0</v>
      </c>
      <c r="N6" s="113">
        <v>6</v>
      </c>
      <c r="O6" s="113">
        <f>L6</f>
        <v>0</v>
      </c>
      <c r="P6" s="113">
        <f t="shared" si="1"/>
        <v>0</v>
      </c>
      <c r="Q6" s="113">
        <f t="shared" si="1"/>
        <v>6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>
      <c r="A8" s="122" t="s">
        <v>109</v>
      </c>
      <c r="B8" s="123">
        <v>10</v>
      </c>
      <c r="C8" s="124">
        <v>-2.11</v>
      </c>
      <c r="D8" s="125">
        <v>1</v>
      </c>
      <c r="E8" s="126">
        <v>0</v>
      </c>
      <c r="F8" s="127">
        <v>-2</v>
      </c>
      <c r="G8" s="127">
        <v>0</v>
      </c>
      <c r="H8" s="127">
        <v>0</v>
      </c>
      <c r="I8" s="127">
        <v>0</v>
      </c>
      <c r="J8" s="127">
        <v>0</v>
      </c>
      <c r="K8" s="127">
        <v>0</v>
      </c>
      <c r="L8" s="127">
        <v>0</v>
      </c>
      <c r="M8" s="127">
        <v>0</v>
      </c>
      <c r="N8" s="127">
        <v>0</v>
      </c>
      <c r="O8" s="128">
        <f>L14</f>
        <v>0</v>
      </c>
      <c r="P8" s="128">
        <f t="shared" ref="P8:Q12" si="2">M14</f>
        <v>0</v>
      </c>
      <c r="Q8" s="128">
        <f t="shared" si="2"/>
        <v>0</v>
      </c>
      <c r="R8" s="127">
        <v>0</v>
      </c>
      <c r="S8" s="127">
        <v>0</v>
      </c>
      <c r="T8" s="127">
        <v>0</v>
      </c>
      <c r="U8" s="127">
        <v>0</v>
      </c>
      <c r="V8" s="127">
        <v>0</v>
      </c>
      <c r="W8" s="127">
        <v>0</v>
      </c>
      <c r="X8" s="127">
        <v>0</v>
      </c>
      <c r="Y8" s="127">
        <v>0</v>
      </c>
      <c r="Z8" s="127">
        <v>0</v>
      </c>
      <c r="AA8" s="127">
        <v>0</v>
      </c>
      <c r="AB8" s="127">
        <v>0</v>
      </c>
    </row>
    <row r="9" spans="1:28">
      <c r="A9" s="122" t="s">
        <v>108</v>
      </c>
      <c r="B9" s="123">
        <v>9</v>
      </c>
      <c r="C9" s="124">
        <v>-31.99</v>
      </c>
      <c r="D9" s="125">
        <v>2</v>
      </c>
      <c r="E9" s="126">
        <v>1</v>
      </c>
      <c r="F9" s="127">
        <v>-7.5</v>
      </c>
      <c r="G9" s="127">
        <v>-0.5</v>
      </c>
      <c r="H9" s="127">
        <v>0</v>
      </c>
      <c r="I9" s="127">
        <v>0</v>
      </c>
      <c r="J9" s="127">
        <v>16</v>
      </c>
      <c r="K9" s="127">
        <v>-6</v>
      </c>
      <c r="L9" s="127">
        <v>0</v>
      </c>
      <c r="M9" s="127">
        <v>-3</v>
      </c>
      <c r="N9" s="129">
        <v>-16</v>
      </c>
      <c r="O9" s="128">
        <f t="shared" ref="O9:O12" si="3">L15</f>
        <v>3</v>
      </c>
      <c r="P9" s="128">
        <f t="shared" si="2"/>
        <v>14</v>
      </c>
      <c r="Q9" s="128">
        <f t="shared" si="2"/>
        <v>10</v>
      </c>
      <c r="R9" s="127">
        <v>7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>
      <c r="A10" s="122" t="s">
        <v>107</v>
      </c>
      <c r="B10" s="130">
        <v>8</v>
      </c>
      <c r="C10" s="124">
        <v>-29.62</v>
      </c>
      <c r="D10" s="125">
        <v>3</v>
      </c>
      <c r="E10" s="126">
        <v>1</v>
      </c>
      <c r="F10" s="127">
        <v>11</v>
      </c>
      <c r="G10" s="127">
        <v>-1</v>
      </c>
      <c r="H10" s="127">
        <v>0</v>
      </c>
      <c r="I10" s="127">
        <v>0</v>
      </c>
      <c r="J10" s="127">
        <v>-4</v>
      </c>
      <c r="K10" s="127">
        <v>-8</v>
      </c>
      <c r="L10" s="127">
        <v>-3</v>
      </c>
      <c r="M10" s="127">
        <v>-3</v>
      </c>
      <c r="N10" s="127">
        <v>-30</v>
      </c>
      <c r="O10" s="128">
        <f t="shared" si="3"/>
        <v>25</v>
      </c>
      <c r="P10" s="128">
        <f t="shared" si="2"/>
        <v>7</v>
      </c>
      <c r="Q10" s="128">
        <f t="shared" si="2"/>
        <v>-4</v>
      </c>
      <c r="R10" s="127">
        <v>49</v>
      </c>
      <c r="S10" s="127">
        <v>-6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>
      <c r="A11" s="122" t="s">
        <v>113</v>
      </c>
      <c r="B11" s="123">
        <v>7</v>
      </c>
      <c r="C11" s="124">
        <v>-28.74</v>
      </c>
      <c r="D11" s="125">
        <v>4</v>
      </c>
      <c r="E11" s="126">
        <v>0</v>
      </c>
      <c r="F11" s="127">
        <v>6</v>
      </c>
      <c r="G11" s="127">
        <v>-1</v>
      </c>
      <c r="H11" s="127">
        <v>0</v>
      </c>
      <c r="I11" s="127">
        <v>0</v>
      </c>
      <c r="J11" s="127">
        <v>4</v>
      </c>
      <c r="K11" s="127">
        <v>14</v>
      </c>
      <c r="L11" s="127">
        <v>16</v>
      </c>
      <c r="M11" s="127">
        <v>31</v>
      </c>
      <c r="N11" s="127">
        <v>-34</v>
      </c>
      <c r="O11" s="128">
        <f t="shared" si="3"/>
        <v>-34</v>
      </c>
      <c r="P11" s="128">
        <f t="shared" si="2"/>
        <v>-9</v>
      </c>
      <c r="Q11" s="128">
        <f t="shared" si="2"/>
        <v>1</v>
      </c>
      <c r="R11" s="127">
        <v>-24</v>
      </c>
      <c r="S11" s="127">
        <v>-14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>
      <c r="A12" s="122" t="s">
        <v>106</v>
      </c>
      <c r="B12" s="123">
        <v>6</v>
      </c>
      <c r="C12" s="124">
        <v>1.32</v>
      </c>
      <c r="D12" s="125">
        <v>5</v>
      </c>
      <c r="E12" s="126">
        <v>0</v>
      </c>
      <c r="F12" s="127">
        <v>4</v>
      </c>
      <c r="G12" s="127">
        <v>-2</v>
      </c>
      <c r="H12" s="127">
        <v>0</v>
      </c>
      <c r="I12" s="127">
        <v>0</v>
      </c>
      <c r="J12" s="127">
        <v>0</v>
      </c>
      <c r="K12" s="127">
        <v>0</v>
      </c>
      <c r="L12" s="127">
        <v>0</v>
      </c>
      <c r="M12" s="127">
        <v>0</v>
      </c>
      <c r="N12" s="127">
        <v>0</v>
      </c>
      <c r="O12" s="128">
        <f t="shared" si="3"/>
        <v>0</v>
      </c>
      <c r="P12" s="128">
        <f t="shared" si="2"/>
        <v>0</v>
      </c>
      <c r="Q12" s="128">
        <f t="shared" si="2"/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>
      <c r="A13" s="122" t="s">
        <v>105</v>
      </c>
      <c r="B13" s="123">
        <v>2</v>
      </c>
      <c r="C13" s="124">
        <v>31.99</v>
      </c>
      <c r="D13" s="125">
        <v>6</v>
      </c>
      <c r="E13" s="126">
        <v>1</v>
      </c>
      <c r="F13" s="127">
        <v>10</v>
      </c>
      <c r="G13" s="127">
        <v>-1</v>
      </c>
      <c r="H13" s="127">
        <v>0</v>
      </c>
      <c r="I13" s="127">
        <v>0</v>
      </c>
      <c r="J13" s="127">
        <v>-6</v>
      </c>
      <c r="K13" s="127">
        <v>-2</v>
      </c>
      <c r="L13" s="127">
        <v>2</v>
      </c>
      <c r="M13" s="127">
        <v>6</v>
      </c>
      <c r="N13" s="127">
        <v>8</v>
      </c>
      <c r="O13" s="128">
        <f t="shared" ref="O13" si="4">L19</f>
        <v>2</v>
      </c>
      <c r="P13" s="128">
        <f t="shared" ref="P13" si="5">M19</f>
        <v>-2</v>
      </c>
      <c r="Q13" s="128">
        <f t="shared" ref="Q13" si="6">N19</f>
        <v>-2</v>
      </c>
      <c r="R13" s="127">
        <v>-5</v>
      </c>
      <c r="S13" s="127">
        <v>0</v>
      </c>
      <c r="T13" s="127">
        <v>0</v>
      </c>
      <c r="U13" s="127">
        <v>0</v>
      </c>
      <c r="V13" s="127">
        <v>0</v>
      </c>
      <c r="W13" s="127">
        <v>0</v>
      </c>
      <c r="X13" s="127">
        <v>0</v>
      </c>
      <c r="Y13" s="127">
        <v>0</v>
      </c>
      <c r="Z13" s="127">
        <v>0</v>
      </c>
      <c r="AA13" s="127">
        <v>0</v>
      </c>
      <c r="AB13" s="127">
        <v>0</v>
      </c>
    </row>
    <row r="14" spans="1:28" s="137" customFormat="1">
      <c r="A14" s="131" t="s">
        <v>110</v>
      </c>
      <c r="B14" s="132">
        <v>15</v>
      </c>
      <c r="C14" s="133">
        <v>-1.93</v>
      </c>
      <c r="D14" s="134">
        <v>1</v>
      </c>
      <c r="E14" s="135">
        <f>IF(E8=0,1,0)</f>
        <v>1</v>
      </c>
      <c r="F14" s="136">
        <v>-2</v>
      </c>
      <c r="G14" s="136">
        <v>0</v>
      </c>
      <c r="H14" s="136">
        <v>0</v>
      </c>
      <c r="I14" s="136">
        <v>0</v>
      </c>
      <c r="J14" s="136">
        <v>0</v>
      </c>
      <c r="K14" s="136">
        <v>0</v>
      </c>
      <c r="L14" s="136">
        <v>0</v>
      </c>
      <c r="M14" s="136">
        <v>0</v>
      </c>
      <c r="N14" s="136">
        <v>0</v>
      </c>
      <c r="O14" s="128">
        <f>L8</f>
        <v>0</v>
      </c>
      <c r="P14" s="128">
        <f t="shared" ref="O14:Q19" si="7">M8</f>
        <v>0</v>
      </c>
      <c r="Q14" s="128">
        <f t="shared" si="7"/>
        <v>0</v>
      </c>
      <c r="R14" s="136">
        <v>0</v>
      </c>
      <c r="S14" s="136">
        <v>0</v>
      </c>
      <c r="T14" s="136">
        <v>0</v>
      </c>
      <c r="U14" s="136">
        <v>0</v>
      </c>
      <c r="V14" s="136">
        <v>0</v>
      </c>
      <c r="W14" s="136">
        <v>0</v>
      </c>
      <c r="X14" s="136">
        <v>0</v>
      </c>
      <c r="Y14" s="136">
        <v>0</v>
      </c>
      <c r="Z14" s="136">
        <v>0</v>
      </c>
      <c r="AA14" s="136">
        <v>0</v>
      </c>
      <c r="AB14" s="136">
        <v>0</v>
      </c>
    </row>
    <row r="15" spans="1:28" s="137" customFormat="1">
      <c r="A15" s="131" t="s">
        <v>111</v>
      </c>
      <c r="B15" s="132">
        <v>14</v>
      </c>
      <c r="C15" s="133">
        <v>-33.92</v>
      </c>
      <c r="D15" s="134">
        <v>2</v>
      </c>
      <c r="E15" s="135">
        <f t="shared" ref="E15:E18" si="8">IF(E9=0,1,0)</f>
        <v>0</v>
      </c>
      <c r="F15" s="136">
        <v>-7.5</v>
      </c>
      <c r="G15" s="136">
        <v>0.5</v>
      </c>
      <c r="H15" s="136">
        <v>0</v>
      </c>
      <c r="I15" s="136">
        <v>0</v>
      </c>
      <c r="J15" s="136">
        <v>-10</v>
      </c>
      <c r="K15" s="136">
        <v>-4</v>
      </c>
      <c r="L15" s="136">
        <v>3</v>
      </c>
      <c r="M15" s="136">
        <v>14</v>
      </c>
      <c r="N15" s="136">
        <v>10</v>
      </c>
      <c r="O15" s="128">
        <f t="shared" si="7"/>
        <v>0</v>
      </c>
      <c r="P15" s="128">
        <f t="shared" si="7"/>
        <v>-3</v>
      </c>
      <c r="Q15" s="128">
        <f t="shared" si="7"/>
        <v>-16</v>
      </c>
      <c r="R15" s="136">
        <v>2</v>
      </c>
      <c r="S15" s="136">
        <v>2</v>
      </c>
      <c r="T15" s="136">
        <v>0</v>
      </c>
      <c r="U15" s="136">
        <v>0</v>
      </c>
      <c r="V15" s="136">
        <v>0</v>
      </c>
      <c r="W15" s="136">
        <v>0</v>
      </c>
      <c r="X15" s="136">
        <v>0</v>
      </c>
      <c r="Y15" s="136">
        <v>0</v>
      </c>
      <c r="Z15" s="136">
        <v>0</v>
      </c>
      <c r="AA15" s="136">
        <v>0</v>
      </c>
      <c r="AB15" s="136">
        <v>0</v>
      </c>
    </row>
    <row r="16" spans="1:28" s="137" customFormat="1">
      <c r="A16" s="131" t="s">
        <v>112</v>
      </c>
      <c r="B16" s="138">
        <v>13</v>
      </c>
      <c r="C16" s="133">
        <v>-28.48</v>
      </c>
      <c r="D16" s="134">
        <v>3</v>
      </c>
      <c r="E16" s="135">
        <f t="shared" si="8"/>
        <v>0</v>
      </c>
      <c r="F16" s="136">
        <v>11</v>
      </c>
      <c r="G16" s="136">
        <v>1</v>
      </c>
      <c r="H16" s="136">
        <v>0</v>
      </c>
      <c r="I16" s="136">
        <v>0</v>
      </c>
      <c r="J16" s="136">
        <v>6</v>
      </c>
      <c r="K16" s="136">
        <v>-30</v>
      </c>
      <c r="L16" s="136">
        <v>25</v>
      </c>
      <c r="M16" s="136">
        <v>7</v>
      </c>
      <c r="N16" s="136">
        <v>-4</v>
      </c>
      <c r="O16" s="128">
        <f t="shared" ref="O16:O19" si="9">L10</f>
        <v>-3</v>
      </c>
      <c r="P16" s="128">
        <f t="shared" si="7"/>
        <v>-3</v>
      </c>
      <c r="Q16" s="128">
        <f t="shared" si="7"/>
        <v>-30</v>
      </c>
      <c r="R16" s="136">
        <v>19</v>
      </c>
      <c r="S16" s="136">
        <v>4</v>
      </c>
      <c r="T16" s="136">
        <v>0</v>
      </c>
      <c r="U16" s="136">
        <v>0</v>
      </c>
      <c r="V16" s="136">
        <v>0</v>
      </c>
      <c r="W16" s="136">
        <v>0</v>
      </c>
      <c r="X16" s="136">
        <v>0</v>
      </c>
      <c r="Y16" s="136">
        <v>0</v>
      </c>
      <c r="Z16" s="136">
        <v>0</v>
      </c>
      <c r="AA16" s="136">
        <v>0</v>
      </c>
      <c r="AB16" s="136">
        <v>0</v>
      </c>
    </row>
    <row r="17" spans="1:28" s="137" customFormat="1">
      <c r="A17" s="131" t="s">
        <v>114</v>
      </c>
      <c r="B17" s="132">
        <v>12</v>
      </c>
      <c r="C17" s="133">
        <v>-27.24</v>
      </c>
      <c r="D17" s="134">
        <v>4</v>
      </c>
      <c r="E17" s="135">
        <f t="shared" si="8"/>
        <v>1</v>
      </c>
      <c r="F17" s="136">
        <v>6</v>
      </c>
      <c r="G17" s="136">
        <v>1</v>
      </c>
      <c r="H17" s="136">
        <v>0</v>
      </c>
      <c r="I17" s="136">
        <v>0</v>
      </c>
      <c r="J17" s="136">
        <v>16</v>
      </c>
      <c r="K17" s="129">
        <v>-34</v>
      </c>
      <c r="L17" s="129">
        <v>-34</v>
      </c>
      <c r="M17" s="136">
        <v>-9</v>
      </c>
      <c r="N17" s="136">
        <v>1</v>
      </c>
      <c r="O17" s="128">
        <f t="shared" si="9"/>
        <v>16</v>
      </c>
      <c r="P17" s="128">
        <f t="shared" si="7"/>
        <v>31</v>
      </c>
      <c r="Q17" s="128">
        <f t="shared" si="7"/>
        <v>-34</v>
      </c>
      <c r="R17" s="136">
        <v>-14</v>
      </c>
      <c r="S17" s="136">
        <v>-9</v>
      </c>
      <c r="T17" s="136">
        <v>0</v>
      </c>
      <c r="U17" s="136">
        <v>0</v>
      </c>
      <c r="V17" s="136">
        <v>0</v>
      </c>
      <c r="W17" s="136">
        <v>0</v>
      </c>
      <c r="X17" s="136">
        <v>0</v>
      </c>
      <c r="Y17" s="136">
        <v>0</v>
      </c>
      <c r="Z17" s="136">
        <v>0</v>
      </c>
      <c r="AA17" s="136">
        <v>0</v>
      </c>
      <c r="AB17" s="136">
        <v>0</v>
      </c>
    </row>
    <row r="18" spans="1:28" s="137" customFormat="1">
      <c r="A18" s="131" t="s">
        <v>115</v>
      </c>
      <c r="B18" s="132">
        <v>11</v>
      </c>
      <c r="C18" s="133">
        <v>3.69</v>
      </c>
      <c r="D18" s="134">
        <v>5</v>
      </c>
      <c r="E18" s="135">
        <f t="shared" si="8"/>
        <v>1</v>
      </c>
      <c r="F18" s="136">
        <v>4</v>
      </c>
      <c r="G18" s="136">
        <v>2</v>
      </c>
      <c r="H18" s="136">
        <v>0</v>
      </c>
      <c r="I18" s="136">
        <v>0</v>
      </c>
      <c r="J18" s="136">
        <v>0</v>
      </c>
      <c r="K18" s="136">
        <v>0</v>
      </c>
      <c r="L18" s="136">
        <v>0</v>
      </c>
      <c r="M18" s="136">
        <v>0</v>
      </c>
      <c r="N18" s="136">
        <v>0</v>
      </c>
      <c r="O18" s="128">
        <f t="shared" si="9"/>
        <v>0</v>
      </c>
      <c r="P18" s="128">
        <f t="shared" si="7"/>
        <v>0</v>
      </c>
      <c r="Q18" s="128">
        <f t="shared" si="7"/>
        <v>0</v>
      </c>
      <c r="R18" s="136">
        <v>0</v>
      </c>
      <c r="S18" s="136">
        <v>0</v>
      </c>
      <c r="T18" s="136">
        <v>0</v>
      </c>
      <c r="U18" s="136">
        <v>0</v>
      </c>
      <c r="V18" s="136">
        <v>0</v>
      </c>
      <c r="W18" s="136">
        <v>0</v>
      </c>
      <c r="X18" s="136">
        <v>0</v>
      </c>
      <c r="Y18" s="136">
        <v>0</v>
      </c>
      <c r="Z18" s="136">
        <v>0</v>
      </c>
      <c r="AA18" s="136">
        <v>0</v>
      </c>
      <c r="AB18" s="136">
        <v>0</v>
      </c>
    </row>
    <row r="19" spans="1:28" s="137" customFormat="1">
      <c r="A19" s="131" t="s">
        <v>116</v>
      </c>
      <c r="B19" s="132">
        <v>3</v>
      </c>
      <c r="C19" s="133">
        <v>29.71</v>
      </c>
      <c r="D19" s="134">
        <v>6</v>
      </c>
      <c r="E19" s="135">
        <f>E13</f>
        <v>1</v>
      </c>
      <c r="F19" s="136">
        <v>10</v>
      </c>
      <c r="G19" s="136">
        <v>1</v>
      </c>
      <c r="H19" s="136">
        <v>0</v>
      </c>
      <c r="I19" s="136">
        <v>0</v>
      </c>
      <c r="J19" s="136">
        <v>7</v>
      </c>
      <c r="K19" s="136">
        <v>6</v>
      </c>
      <c r="L19" s="136">
        <v>2</v>
      </c>
      <c r="M19" s="136">
        <v>-2</v>
      </c>
      <c r="N19" s="136">
        <v>-2</v>
      </c>
      <c r="O19" s="128">
        <f t="shared" si="9"/>
        <v>2</v>
      </c>
      <c r="P19" s="128">
        <f t="shared" si="7"/>
        <v>6</v>
      </c>
      <c r="Q19" s="128">
        <f t="shared" si="7"/>
        <v>8</v>
      </c>
      <c r="R19" s="136">
        <v>3</v>
      </c>
      <c r="S19" s="136">
        <v>0</v>
      </c>
      <c r="T19" s="136">
        <v>0</v>
      </c>
      <c r="U19" s="136">
        <v>0</v>
      </c>
      <c r="V19" s="136">
        <v>0</v>
      </c>
      <c r="W19" s="136">
        <v>0</v>
      </c>
      <c r="X19" s="136">
        <v>0</v>
      </c>
      <c r="Y19" s="136">
        <v>0</v>
      </c>
      <c r="Z19" s="136">
        <v>0</v>
      </c>
      <c r="AA19" s="136">
        <v>0</v>
      </c>
      <c r="AB19" s="136">
        <v>0</v>
      </c>
    </row>
    <row r="20" spans="1:28">
      <c r="A20" s="139" t="s">
        <v>96</v>
      </c>
      <c r="B20" s="140">
        <v>1</v>
      </c>
      <c r="C20" s="141">
        <v>1.93</v>
      </c>
      <c r="D20" s="142" t="s">
        <v>45</v>
      </c>
      <c r="E20" s="143">
        <v>1</v>
      </c>
      <c r="F20" s="129">
        <v>1</v>
      </c>
      <c r="G20" s="129">
        <v>0</v>
      </c>
      <c r="H20" s="129">
        <v>0</v>
      </c>
      <c r="I20" s="129">
        <v>0</v>
      </c>
      <c r="J20" s="129">
        <v>10</v>
      </c>
      <c r="K20" s="129">
        <v>8</v>
      </c>
      <c r="L20" s="129">
        <v>-5</v>
      </c>
      <c r="M20" s="129">
        <v>-10</v>
      </c>
      <c r="N20" s="129">
        <v>-8</v>
      </c>
      <c r="O20" s="128">
        <f>-L20</f>
        <v>5</v>
      </c>
      <c r="P20" s="128">
        <f t="shared" ref="P20:Q20" si="10">-M20</f>
        <v>10</v>
      </c>
      <c r="Q20" s="128">
        <f t="shared" si="10"/>
        <v>8</v>
      </c>
      <c r="R20" s="129">
        <v>0</v>
      </c>
      <c r="S20" s="129">
        <v>0</v>
      </c>
      <c r="T20" s="129">
        <v>0</v>
      </c>
      <c r="U20" s="129">
        <v>0</v>
      </c>
      <c r="V20" s="129">
        <v>0</v>
      </c>
      <c r="W20" s="129">
        <v>0</v>
      </c>
      <c r="X20" s="129">
        <v>0</v>
      </c>
      <c r="Y20" s="129">
        <v>0</v>
      </c>
      <c r="Z20" s="129">
        <v>0</v>
      </c>
      <c r="AA20" s="129">
        <v>0</v>
      </c>
      <c r="AB20" s="129">
        <v>0</v>
      </c>
    </row>
    <row r="21" spans="1:28">
      <c r="A21" s="122" t="s">
        <v>97</v>
      </c>
      <c r="B21" s="130">
        <v>4</v>
      </c>
      <c r="C21" s="124">
        <v>15.03</v>
      </c>
      <c r="D21" s="125">
        <v>5</v>
      </c>
      <c r="E21" s="126">
        <v>0</v>
      </c>
      <c r="F21" s="127">
        <v>50</v>
      </c>
      <c r="G21" s="127">
        <v>0</v>
      </c>
      <c r="H21" s="127">
        <v>0</v>
      </c>
      <c r="I21" s="127">
        <v>0</v>
      </c>
      <c r="J21" s="127">
        <v>0</v>
      </c>
      <c r="K21" s="127">
        <v>0</v>
      </c>
      <c r="L21" s="127">
        <v>0</v>
      </c>
      <c r="M21" s="127">
        <v>0</v>
      </c>
      <c r="N21" s="127">
        <v>0</v>
      </c>
      <c r="O21" s="128">
        <v>0</v>
      </c>
      <c r="P21" s="128">
        <v>0</v>
      </c>
      <c r="Q21" s="128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>
      <c r="A22" s="122" t="s">
        <v>98</v>
      </c>
      <c r="B22" s="123">
        <v>16</v>
      </c>
      <c r="C22" s="124">
        <v>3.69</v>
      </c>
      <c r="D22" s="125">
        <v>6</v>
      </c>
      <c r="E22" s="126">
        <v>0</v>
      </c>
      <c r="F22" s="127">
        <v>0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8">
        <v>0</v>
      </c>
      <c r="P22" s="128">
        <v>0</v>
      </c>
      <c r="Q22" s="128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>
      <c r="A23" s="122" t="s">
        <v>99</v>
      </c>
      <c r="B23" s="123">
        <v>18</v>
      </c>
      <c r="C23" s="124">
        <v>34.450000000000003</v>
      </c>
      <c r="D23" s="125">
        <v>7</v>
      </c>
      <c r="E23" s="126">
        <v>1</v>
      </c>
      <c r="F23" s="127">
        <v>125</v>
      </c>
      <c r="G23" s="127">
        <v>0</v>
      </c>
      <c r="H23" s="127">
        <v>0</v>
      </c>
      <c r="I23" s="127">
        <v>0</v>
      </c>
      <c r="J23" s="127">
        <v>0</v>
      </c>
      <c r="K23" s="127">
        <v>0</v>
      </c>
      <c r="L23" s="127">
        <v>0</v>
      </c>
      <c r="M23" s="127">
        <v>0</v>
      </c>
      <c r="N23" s="127">
        <v>0</v>
      </c>
      <c r="O23" s="128">
        <v>0</v>
      </c>
      <c r="P23" s="128">
        <v>0</v>
      </c>
      <c r="Q23" s="128">
        <v>0</v>
      </c>
      <c r="R23" s="127">
        <v>0</v>
      </c>
      <c r="S23" s="127">
        <v>0</v>
      </c>
      <c r="T23" s="127">
        <v>0</v>
      </c>
      <c r="U23" s="127">
        <v>0</v>
      </c>
      <c r="V23" s="127">
        <v>0</v>
      </c>
      <c r="W23" s="127">
        <v>0</v>
      </c>
      <c r="X23" s="127">
        <v>0</v>
      </c>
      <c r="Y23" s="127">
        <v>0</v>
      </c>
      <c r="Z23" s="127">
        <v>0</v>
      </c>
      <c r="AA23" s="127">
        <v>0</v>
      </c>
      <c r="AB23" s="127">
        <v>0</v>
      </c>
    </row>
    <row r="24" spans="1:28">
      <c r="A24" s="122" t="s">
        <v>100</v>
      </c>
      <c r="B24" s="123">
        <v>17</v>
      </c>
      <c r="C24" s="124">
        <v>20.92</v>
      </c>
      <c r="D24" s="125">
        <v>8</v>
      </c>
      <c r="E24" s="126">
        <v>0</v>
      </c>
      <c r="F24" s="127">
        <v>125</v>
      </c>
      <c r="G24" s="127">
        <v>0</v>
      </c>
      <c r="H24" s="127">
        <v>0</v>
      </c>
      <c r="I24" s="127">
        <v>0</v>
      </c>
      <c r="J24" s="127">
        <v>0</v>
      </c>
      <c r="K24" s="127">
        <v>0</v>
      </c>
      <c r="L24" s="127">
        <v>0</v>
      </c>
      <c r="M24" s="127">
        <v>0</v>
      </c>
      <c r="N24" s="127">
        <v>0</v>
      </c>
      <c r="O24" s="128">
        <v>0</v>
      </c>
      <c r="P24" s="128">
        <v>0</v>
      </c>
      <c r="Q24" s="128">
        <v>0</v>
      </c>
      <c r="R24" s="127">
        <v>0</v>
      </c>
      <c r="S24" s="127">
        <v>0</v>
      </c>
      <c r="T24" s="127">
        <v>0</v>
      </c>
      <c r="U24" s="127">
        <v>0</v>
      </c>
      <c r="V24" s="127">
        <v>0</v>
      </c>
      <c r="W24" s="127">
        <v>0</v>
      </c>
      <c r="X24" s="127">
        <v>0</v>
      </c>
      <c r="Y24" s="127">
        <v>0</v>
      </c>
      <c r="Z24" s="127">
        <v>0</v>
      </c>
      <c r="AA24" s="127">
        <v>0</v>
      </c>
      <c r="AB24" s="127">
        <v>0</v>
      </c>
    </row>
    <row r="25" spans="1:28">
      <c r="A25" s="131" t="s">
        <v>101</v>
      </c>
      <c r="B25" s="132">
        <v>5</v>
      </c>
      <c r="C25" s="133">
        <v>0.09</v>
      </c>
      <c r="D25" s="134">
        <v>5</v>
      </c>
      <c r="E25" s="135">
        <f t="shared" ref="E25:E28" si="11">IF(E21=0,1,0)</f>
        <v>1</v>
      </c>
      <c r="F25" s="136">
        <v>50</v>
      </c>
      <c r="G25" s="136">
        <f>G21</f>
        <v>0</v>
      </c>
      <c r="H25" s="136">
        <v>0</v>
      </c>
      <c r="I25" s="136">
        <v>0</v>
      </c>
      <c r="J25" s="136">
        <v>0</v>
      </c>
      <c r="K25" s="136">
        <v>0</v>
      </c>
      <c r="L25" s="136">
        <v>0</v>
      </c>
      <c r="M25" s="136">
        <v>0</v>
      </c>
      <c r="N25" s="136">
        <v>0</v>
      </c>
      <c r="O25" s="128">
        <v>0</v>
      </c>
      <c r="P25" s="128">
        <v>0</v>
      </c>
      <c r="Q25" s="128">
        <v>0</v>
      </c>
      <c r="R25" s="136">
        <v>0</v>
      </c>
      <c r="S25" s="136">
        <v>0</v>
      </c>
      <c r="T25" s="136">
        <v>0</v>
      </c>
      <c r="U25" s="136">
        <v>0</v>
      </c>
      <c r="V25" s="136">
        <v>0</v>
      </c>
      <c r="W25" s="136">
        <v>0</v>
      </c>
      <c r="X25" s="136">
        <v>0</v>
      </c>
      <c r="Y25" s="136">
        <v>0</v>
      </c>
      <c r="Z25" s="136">
        <v>0</v>
      </c>
      <c r="AA25" s="136">
        <v>0</v>
      </c>
      <c r="AB25" s="136">
        <v>0</v>
      </c>
    </row>
    <row r="26" spans="1:28">
      <c r="A26" s="131" t="s">
        <v>102</v>
      </c>
      <c r="B26" s="132">
        <v>19</v>
      </c>
      <c r="C26" s="133">
        <v>15.64</v>
      </c>
      <c r="D26" s="134">
        <v>6</v>
      </c>
      <c r="E26" s="135">
        <f t="shared" si="11"/>
        <v>1</v>
      </c>
      <c r="F26" s="136">
        <v>2</v>
      </c>
      <c r="G26" s="136">
        <f t="shared" ref="G26:G28" si="12">G22</f>
        <v>0</v>
      </c>
      <c r="H26" s="136">
        <v>0</v>
      </c>
      <c r="I26" s="136">
        <v>0</v>
      </c>
      <c r="J26" s="136">
        <v>0</v>
      </c>
      <c r="K26" s="136">
        <v>0</v>
      </c>
      <c r="L26" s="136">
        <v>0</v>
      </c>
      <c r="M26" s="136">
        <v>0</v>
      </c>
      <c r="N26" s="136">
        <v>0</v>
      </c>
      <c r="O26" s="128">
        <v>0</v>
      </c>
      <c r="P26" s="128">
        <v>0</v>
      </c>
      <c r="Q26" s="128">
        <v>0</v>
      </c>
      <c r="R26" s="136">
        <v>0</v>
      </c>
      <c r="S26" s="136">
        <v>0</v>
      </c>
      <c r="T26" s="136">
        <v>0</v>
      </c>
      <c r="U26" s="136">
        <v>0</v>
      </c>
      <c r="V26" s="136">
        <v>0</v>
      </c>
      <c r="W26" s="136">
        <v>0</v>
      </c>
      <c r="X26" s="136">
        <v>0</v>
      </c>
      <c r="Y26" s="136">
        <v>0</v>
      </c>
      <c r="Z26" s="136">
        <v>0</v>
      </c>
      <c r="AA26" s="136">
        <v>0</v>
      </c>
      <c r="AB26" s="136">
        <v>0</v>
      </c>
    </row>
    <row r="27" spans="1:28">
      <c r="A27" s="131" t="s">
        <v>103</v>
      </c>
      <c r="B27" s="132">
        <v>21</v>
      </c>
      <c r="C27" s="133">
        <v>51.15</v>
      </c>
      <c r="D27" s="134">
        <v>7</v>
      </c>
      <c r="E27" s="135">
        <f t="shared" si="11"/>
        <v>0</v>
      </c>
      <c r="F27" s="136">
        <v>125</v>
      </c>
      <c r="G27" s="136">
        <f t="shared" si="12"/>
        <v>0</v>
      </c>
      <c r="H27" s="136">
        <v>0</v>
      </c>
      <c r="I27" s="136">
        <v>0</v>
      </c>
      <c r="J27" s="136">
        <v>0</v>
      </c>
      <c r="K27" s="136">
        <v>0</v>
      </c>
      <c r="L27" s="136">
        <v>0</v>
      </c>
      <c r="M27" s="136">
        <v>0</v>
      </c>
      <c r="N27" s="136">
        <v>0</v>
      </c>
      <c r="O27" s="128">
        <v>0</v>
      </c>
      <c r="P27" s="128">
        <v>0</v>
      </c>
      <c r="Q27" s="128">
        <v>0</v>
      </c>
      <c r="R27" s="136">
        <v>0</v>
      </c>
      <c r="S27" s="136">
        <v>0</v>
      </c>
      <c r="T27" s="136">
        <v>0</v>
      </c>
      <c r="U27" s="136">
        <v>0</v>
      </c>
      <c r="V27" s="136">
        <v>0</v>
      </c>
      <c r="W27" s="136">
        <v>0</v>
      </c>
      <c r="X27" s="136">
        <v>0</v>
      </c>
      <c r="Y27" s="136">
        <v>0</v>
      </c>
      <c r="Z27" s="136">
        <v>0</v>
      </c>
      <c r="AA27" s="136">
        <v>0</v>
      </c>
      <c r="AB27" s="136">
        <v>0</v>
      </c>
    </row>
    <row r="28" spans="1:28">
      <c r="A28" s="131" t="s">
        <v>104</v>
      </c>
      <c r="B28" s="132">
        <v>20</v>
      </c>
      <c r="C28" s="133">
        <v>38.58</v>
      </c>
      <c r="D28" s="134">
        <v>8</v>
      </c>
      <c r="E28" s="135">
        <f t="shared" si="11"/>
        <v>1</v>
      </c>
      <c r="F28" s="136">
        <v>125</v>
      </c>
      <c r="G28" s="136">
        <f t="shared" si="12"/>
        <v>0</v>
      </c>
      <c r="H28" s="136">
        <v>0</v>
      </c>
      <c r="I28" s="136">
        <v>0</v>
      </c>
      <c r="J28" s="136">
        <v>0</v>
      </c>
      <c r="K28" s="136">
        <v>0</v>
      </c>
      <c r="L28" s="136">
        <v>0</v>
      </c>
      <c r="M28" s="136">
        <v>0</v>
      </c>
      <c r="N28" s="136">
        <v>0</v>
      </c>
      <c r="O28" s="128">
        <v>0</v>
      </c>
      <c r="P28" s="128">
        <v>0</v>
      </c>
      <c r="Q28" s="128">
        <v>0</v>
      </c>
      <c r="R28" s="136">
        <v>0</v>
      </c>
      <c r="S28" s="136">
        <v>0</v>
      </c>
      <c r="T28" s="136">
        <v>0</v>
      </c>
      <c r="U28" s="136">
        <v>0</v>
      </c>
      <c r="V28" s="136">
        <v>0</v>
      </c>
      <c r="W28" s="136">
        <v>0</v>
      </c>
      <c r="X28" s="136">
        <v>0</v>
      </c>
      <c r="Y28" s="136">
        <v>0</v>
      </c>
      <c r="Z28" s="136">
        <v>0</v>
      </c>
      <c r="AA28" s="136">
        <v>0</v>
      </c>
      <c r="AB28" s="136">
        <v>0</v>
      </c>
    </row>
    <row r="29" spans="1:28">
      <c r="A29" s="144"/>
      <c r="B29" s="144"/>
      <c r="C29" s="144"/>
      <c r="D29" s="144"/>
      <c r="E29" s="144"/>
      <c r="F29" s="14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05"/>
      <c r="W29" s="105"/>
      <c r="X29" s="105"/>
      <c r="Y29" s="105"/>
      <c r="Z29" s="105"/>
    </row>
    <row r="30" spans="1:28">
      <c r="A30" s="144"/>
      <c r="B30" s="144"/>
      <c r="C30" s="144"/>
      <c r="D30" s="144"/>
      <c r="E30" s="144"/>
      <c r="F30" s="144"/>
      <c r="G30" s="144"/>
      <c r="H30" s="144"/>
      <c r="I30" s="144"/>
      <c r="J30" s="144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05"/>
      <c r="W30" s="105"/>
      <c r="X30" s="105"/>
      <c r="Y30" s="105"/>
      <c r="Z30" s="105"/>
    </row>
    <row r="31" spans="1:28">
      <c r="A31" s="144"/>
      <c r="B31" s="144"/>
      <c r="C31" s="144"/>
      <c r="D31" s="144"/>
      <c r="E31" s="144"/>
      <c r="F31" s="144"/>
      <c r="G31" s="144"/>
      <c r="H31" s="144"/>
      <c r="I31" s="144"/>
      <c r="J31" s="144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05"/>
      <c r="W31" s="105"/>
      <c r="X31" s="105"/>
      <c r="Y31" s="105"/>
      <c r="Z31" s="105"/>
    </row>
    <row r="32" spans="1:28">
      <c r="A32" s="144"/>
      <c r="B32" s="144"/>
      <c r="C32" s="144"/>
      <c r="D32" s="144"/>
      <c r="E32" s="144"/>
      <c r="F32" s="144"/>
      <c r="G32" s="144"/>
      <c r="H32" s="144"/>
      <c r="I32" s="144"/>
      <c r="J32" s="144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05"/>
      <c r="W32" s="105"/>
      <c r="X32" s="105"/>
      <c r="Y32" s="105"/>
      <c r="Z32" s="105"/>
    </row>
    <row r="33" spans="1:26">
      <c r="A33" s="144"/>
      <c r="B33" s="144"/>
      <c r="C33" s="144"/>
      <c r="D33" s="144"/>
      <c r="E33" s="144"/>
      <c r="F33" s="144"/>
      <c r="G33" s="144"/>
      <c r="H33" s="144"/>
      <c r="I33" s="144"/>
      <c r="J33" s="144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05"/>
      <c r="W33" s="105"/>
      <c r="X33" s="105"/>
      <c r="Y33" s="105"/>
      <c r="Z33" s="105"/>
    </row>
    <row r="34" spans="1:26">
      <c r="A34" s="144"/>
      <c r="B34" s="144"/>
      <c r="C34" s="144"/>
      <c r="D34" s="144"/>
      <c r="E34" s="144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05"/>
      <c r="W34" s="105"/>
      <c r="X34" s="105"/>
      <c r="Y34" s="105"/>
      <c r="Z34" s="105"/>
    </row>
    <row r="35" spans="1:26">
      <c r="A35" s="144"/>
      <c r="B35" s="144"/>
      <c r="C35" s="144"/>
      <c r="D35" s="144"/>
      <c r="E35" s="144"/>
      <c r="F35" s="144"/>
      <c r="G35" s="144"/>
      <c r="H35" s="144"/>
      <c r="I35" s="144"/>
      <c r="J35" s="144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05"/>
      <c r="W35" s="105"/>
      <c r="X35" s="105"/>
      <c r="Y35" s="105"/>
      <c r="Z35" s="105"/>
    </row>
    <row r="36" spans="1:26">
      <c r="A36" s="144"/>
      <c r="B36" s="144"/>
      <c r="C36" s="144"/>
      <c r="D36" s="144"/>
      <c r="E36" s="144"/>
      <c r="F36" s="144"/>
      <c r="G36" s="144"/>
      <c r="H36" s="144"/>
      <c r="I36" s="144"/>
      <c r="J36" s="144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05"/>
      <c r="W36" s="105"/>
      <c r="X36" s="105"/>
      <c r="Y36" s="105"/>
      <c r="Z36" s="105"/>
    </row>
    <row r="37" spans="1:26">
      <c r="A37" s="144"/>
      <c r="B37" s="144"/>
      <c r="C37" s="144"/>
      <c r="D37" s="144"/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</row>
    <row r="38" spans="1:26">
      <c r="A38" s="144"/>
      <c r="B38" s="144"/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</row>
    <row r="39" spans="1:26">
      <c r="A39" s="144"/>
      <c r="B39" s="144"/>
      <c r="C39" s="144"/>
      <c r="D39" s="144"/>
      <c r="E39" s="144"/>
      <c r="F39" s="144"/>
      <c r="G39" s="144"/>
      <c r="H39" s="144"/>
      <c r="I39" s="144"/>
      <c r="J39" s="144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</row>
    <row r="40" spans="1:26">
      <c r="A40" s="144"/>
      <c r="B40" s="144"/>
      <c r="C40" s="144"/>
      <c r="D40" s="144"/>
      <c r="E40" s="144"/>
      <c r="F40" s="144"/>
      <c r="G40" s="144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</row>
    <row r="41" spans="1:26">
      <c r="A41" s="144"/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</row>
  </sheetData>
  <protectedRanges>
    <protectedRange sqref="F9:G11 U9:AB11 F13:G13 U13:AB13 U15:AB17 V19:AB19 R18:AB18 R12:AB12 F15:G19 F12:N12 F14:AB14 F8:AB8 H18:N18 O9:Q13 O15:Q19" name="入力範囲_4_1_1_1_1_1"/>
    <protectedRange sqref="E8:E13" name="入力範囲_4_1_1_1_3_1_1"/>
    <protectedRange sqref="F20:G20 U20:AB20" name="入力範囲_4_1_1_1_1_1_1"/>
    <protectedRange sqref="E20" name="入力範囲_4_1_1_1_3_1_1_1"/>
    <protectedRange sqref="E14:E19 E25:E28" name="入力範囲_4_1_1_1_3_1_1_2"/>
    <protectedRange sqref="H20:T20" name="入力範囲_4_1_1_1_1_1_2"/>
    <protectedRange sqref="R9:T11 H9:N11" name="入力範囲_4_1_1_1_1_1_3"/>
    <protectedRange sqref="R15:T17 H15:N17" name="入力範囲_4_1_1_1_1_1_9"/>
    <protectedRange sqref="R13:T13 H13:N13" name="入力範囲_4_1_1_1_1_1_10"/>
    <protectedRange sqref="U19" name="入力範囲_4_1_1_1_1_1_11"/>
    <protectedRange sqref="R19:T19 H19:N19" name="入力範囲_4_1_1_1_1_1_1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zoomScale="130" zoomScaleNormal="130" workbookViewId="0">
      <selection activeCell="R8" sqref="R8:T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workbookViewId="0">
      <selection activeCell="H5" sqref="H5: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workbookViewId="0">
      <selection activeCell="J48" sqref="J4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dynamixel</vt:lpstr>
      <vt:lpstr>dynamixel_atk</vt:lpstr>
      <vt:lpstr>dynamixel_wake_b</vt:lpstr>
      <vt:lpstr>dynamixel_wake_f</vt:lpstr>
      <vt:lpstr>dynamixel_walk</vt:lpstr>
      <vt:lpstr>Walk</vt:lpstr>
      <vt:lpstr>Atk_R_low</vt:lpstr>
      <vt:lpstr>Atk_R_high</vt:lpstr>
      <vt:lpstr>Atk_B</vt:lpstr>
      <vt:lpstr>Atk_F</vt:lpstr>
      <vt:lpstr>Atk_L_low</vt:lpstr>
      <vt:lpstr>Atk_L_high</vt:lpstr>
      <vt:lpstr>WakeF</vt:lpstr>
      <vt:lpstr>WakeB</vt:lpstr>
      <vt:lpstr>Back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2024-09-16T06:03:27Z</dcterms:modified>
</cp:coreProperties>
</file>