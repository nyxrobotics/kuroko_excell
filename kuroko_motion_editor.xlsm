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_wake_b" sheetId="38" r:id="rId1"/>
    <sheet name="dynamixel_wake_f" sheetId="36" r:id="rId2"/>
    <sheet name="dynamixel" sheetId="35" r:id="rId3"/>
    <sheet name="dynamixel_walk" sheetId="37" r:id="rId4"/>
    <sheet name="Walk" sheetId="23" r:id="rId5"/>
    <sheet name="Atk_R_low" sheetId="27" r:id="rId6"/>
    <sheet name="Atk_R_high" sheetId="26" r:id="rId7"/>
    <sheet name="Atk_B" sheetId="31" r:id="rId8"/>
    <sheet name="Atk_F" sheetId="30" r:id="rId9"/>
    <sheet name="Atk_L_low" sheetId="29" r:id="rId10"/>
    <sheet name="Atk_L_high" sheetId="28" r:id="rId11"/>
    <sheet name="WakeF" sheetId="24" r:id="rId12"/>
    <sheet name="WakeB" sheetId="25" r:id="rId13"/>
    <sheet name="Back" sheetId="33" r:id="rId14"/>
    <sheet name="Left" sheetId="13" r:id="rId15"/>
    <sheet name="Right" sheetId="12" r:id="rId16"/>
    <sheet name="LRoll" sheetId="11" r:id="rId17"/>
    <sheet name="RRoll" sheetId="10" r:id="rId18"/>
    <sheet name="COM" sheetId="1" r:id="rId19"/>
    <sheet name="git" sheetId="34" r:id="rId2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38" l="1"/>
  <c r="G27" i="38"/>
  <c r="G26" i="38"/>
  <c r="G25" i="38"/>
  <c r="G14" i="38"/>
  <c r="G28" i="36"/>
  <c r="G27" i="36"/>
  <c r="G26" i="36"/>
  <c r="G25" i="36"/>
  <c r="G14" i="36"/>
  <c r="O14" i="37" l="1"/>
  <c r="O9" i="37"/>
  <c r="O10" i="37"/>
  <c r="G26" i="37"/>
  <c r="G27" i="37"/>
  <c r="G28" i="37"/>
  <c r="G25" i="37"/>
  <c r="G14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P13" i="37"/>
  <c r="Q13" i="37"/>
  <c r="O11" i="37"/>
  <c r="O12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O5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O19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E19" i="35" l="1"/>
  <c r="E26" i="35" l="1"/>
  <c r="E27" i="35"/>
  <c r="E28" i="35"/>
  <c r="E15" i="35"/>
  <c r="E16" i="35"/>
  <c r="E17" i="35"/>
  <c r="E18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<sst xmlns="http://schemas.openxmlformats.org/spreadsheetml/2006/main" count="1358" uniqueCount="109">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</sst>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O3" sqref="O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2</v>
      </c>
      <c r="G26" s="44">
        <f t="shared" ref="G26:G28" si="6">G22</f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f t="shared" si="6"/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f t="shared" si="6"/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S9:AB11 F13:G13 S13:AB13 F15:G17 S15:AB17 F19:G19 S19:AB19 F8:AB8 F12:AB12 F14:AB14 F18:AB18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J5" sqref="J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202</v>
      </c>
      <c r="M4" s="62">
        <f t="shared" si="0"/>
        <v>222</v>
      </c>
      <c r="N4" s="62">
        <f t="shared" si="0"/>
        <v>242</v>
      </c>
      <c r="O4" s="62">
        <f t="shared" si="0"/>
        <v>272</v>
      </c>
      <c r="P4" s="62">
        <f t="shared" si="0"/>
        <v>372</v>
      </c>
      <c r="Q4" s="62">
        <f t="shared" si="0"/>
        <v>472</v>
      </c>
      <c r="R4" s="62">
        <f t="shared" si="0"/>
        <v>572</v>
      </c>
      <c r="S4" s="62">
        <f t="shared" si="0"/>
        <v>672</v>
      </c>
      <c r="T4" s="62">
        <f t="shared" si="0"/>
        <v>772</v>
      </c>
      <c r="U4" s="62">
        <f t="shared" si="0"/>
        <v>782</v>
      </c>
      <c r="V4" s="62">
        <f t="shared" si="0"/>
        <v>784</v>
      </c>
      <c r="W4" s="62">
        <f t="shared" si="0"/>
        <v>786</v>
      </c>
      <c r="X4" s="62">
        <f t="shared" si="0"/>
        <v>811</v>
      </c>
      <c r="Y4" s="62">
        <f t="shared" si="0"/>
        <v>911</v>
      </c>
      <c r="Z4" s="62">
        <f t="shared" si="0"/>
        <v>1011</v>
      </c>
      <c r="AA4" s="62">
        <f t="shared" si="0"/>
        <v>1111</v>
      </c>
      <c r="AB4" s="62">
        <f t="shared" si="0"/>
        <v>1211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80</v>
      </c>
      <c r="L5" s="63">
        <v>20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</v>
      </c>
      <c r="G9" s="38">
        <v>0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19.7</v>
      </c>
      <c r="G10" s="38">
        <v>0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9.6999999999999993</v>
      </c>
      <c r="G11" s="38">
        <v>0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-8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-120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-130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2</v>
      </c>
      <c r="G26" s="44">
        <f t="shared" ref="G26:G28" si="4">G22</f>
        <v>0</v>
      </c>
      <c r="H26" s="44">
        <v>0</v>
      </c>
      <c r="I26" s="44">
        <v>0</v>
      </c>
      <c r="J26" s="44">
        <f t="shared" ref="J26:N26" si="5">J22</f>
        <v>0</v>
      </c>
      <c r="K26" s="44">
        <f t="shared" si="5"/>
        <v>0</v>
      </c>
      <c r="L26" s="44">
        <f t="shared" si="5"/>
        <v>10</v>
      </c>
      <c r="M26" s="44">
        <f t="shared" si="5"/>
        <v>20</v>
      </c>
      <c r="N26" s="44">
        <f t="shared" si="5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f t="shared" ref="J27:N27" si="6">J23</f>
        <v>0</v>
      </c>
      <c r="K27" s="44">
        <f t="shared" si="6"/>
        <v>-120</v>
      </c>
      <c r="L27" s="44">
        <f t="shared" si="6"/>
        <v>-110</v>
      </c>
      <c r="M27" s="44">
        <f t="shared" si="6"/>
        <v>0</v>
      </c>
      <c r="N27" s="44">
        <f t="shared" si="6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f t="shared" ref="J28:N28" si="7">J24</f>
        <v>0</v>
      </c>
      <c r="K28" s="44">
        <f t="shared" si="7"/>
        <v>-130</v>
      </c>
      <c r="L28" s="44">
        <f t="shared" si="7"/>
        <v>-120</v>
      </c>
      <c r="M28" s="44">
        <f t="shared" si="7"/>
        <v>0</v>
      </c>
      <c r="N28" s="44">
        <f t="shared" si="7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8 F12:AB12 F9:G11 O9:AB11 F13:G13 O13:AB13 F14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A3" sqref="A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-3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0</v>
      </c>
      <c r="F9" s="38">
        <v>-3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9</v>
      </c>
      <c r="G10" s="38">
        <v>0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16</v>
      </c>
      <c r="G11" s="38">
        <v>0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1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8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-3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1</v>
      </c>
      <c r="F15" s="44">
        <v>-3</v>
      </c>
      <c r="G15" s="44">
        <v>0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-4</v>
      </c>
      <c r="G16" s="44">
        <v>0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11</v>
      </c>
      <c r="G17" s="44">
        <v>0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4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130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130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v>0</v>
      </c>
      <c r="F25" s="44">
        <v>-50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130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130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8:AB19" name="入力範囲_4_1_1_1_1_1"/>
    <protectedRange sqref="E8:E13" name="入力範囲_4_1_1_1_3_1_1"/>
    <protectedRange sqref="F20:AB20" name="入力範囲_4_1_1_1_1_1_1"/>
    <protectedRange sqref="E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W11" sqref="W11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18</v>
      </c>
      <c r="L4" s="62">
        <f t="shared" si="0"/>
        <v>24</v>
      </c>
      <c r="M4" s="62">
        <f t="shared" si="0"/>
        <v>29</v>
      </c>
      <c r="N4" s="62">
        <f t="shared" si="0"/>
        <v>33</v>
      </c>
      <c r="O4" s="62">
        <f t="shared" si="0"/>
        <v>39</v>
      </c>
      <c r="P4" s="62">
        <f t="shared" si="0"/>
        <v>44</v>
      </c>
      <c r="Q4" s="62">
        <f t="shared" si="0"/>
        <v>48</v>
      </c>
      <c r="R4" s="62">
        <f t="shared" si="0"/>
        <v>54</v>
      </c>
      <c r="S4" s="62">
        <f t="shared" si="0"/>
        <v>69</v>
      </c>
      <c r="T4" s="62">
        <f t="shared" si="0"/>
        <v>79</v>
      </c>
      <c r="U4" s="62">
        <f t="shared" si="0"/>
        <v>81</v>
      </c>
      <c r="V4" s="62">
        <f t="shared" si="0"/>
        <v>83</v>
      </c>
      <c r="W4" s="62">
        <f t="shared" si="0"/>
        <v>85</v>
      </c>
      <c r="X4" s="62">
        <f t="shared" si="0"/>
        <v>110</v>
      </c>
      <c r="Y4" s="62">
        <f t="shared" si="0"/>
        <v>210</v>
      </c>
      <c r="Z4" s="62">
        <f t="shared" si="0"/>
        <v>310</v>
      </c>
      <c r="AA4" s="62">
        <f t="shared" si="0"/>
        <v>410</v>
      </c>
      <c r="AB4" s="62">
        <f t="shared" si="0"/>
        <v>510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6</v>
      </c>
      <c r="K5" s="63">
        <v>6</v>
      </c>
      <c r="L5" s="63">
        <v>5</v>
      </c>
      <c r="M5" s="63">
        <v>4</v>
      </c>
      <c r="N5" s="63">
        <v>6</v>
      </c>
      <c r="O5" s="63">
        <f>L5</f>
        <v>5</v>
      </c>
      <c r="P5" s="63">
        <f t="shared" ref="P5:Q6" si="1">M5</f>
        <v>4</v>
      </c>
      <c r="Q5" s="63">
        <f t="shared" si="1"/>
        <v>6</v>
      </c>
      <c r="R5" s="63">
        <v>15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f>L6</f>
        <v>0</v>
      </c>
      <c r="P6" s="63">
        <f t="shared" si="1"/>
        <v>0</v>
      </c>
      <c r="Q6" s="63">
        <f t="shared" si="1"/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1.84</v>
      </c>
      <c r="D8" s="10">
        <v>1</v>
      </c>
      <c r="E8" s="37">
        <v>0</v>
      </c>
      <c r="F8" s="38">
        <v>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f>L14</f>
        <v>0</v>
      </c>
      <c r="P8" s="38">
        <f t="shared" ref="P8:Q13" si="2">M14</f>
        <v>0</v>
      </c>
      <c r="Q8" s="38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-1.5</v>
      </c>
      <c r="D9" s="10">
        <v>2</v>
      </c>
      <c r="E9" s="37">
        <v>1</v>
      </c>
      <c r="F9" s="38">
        <v>-9</v>
      </c>
      <c r="G9" s="38">
        <v>8</v>
      </c>
      <c r="H9" s="38">
        <v>0</v>
      </c>
      <c r="I9" s="38">
        <v>0</v>
      </c>
      <c r="J9" s="38">
        <v>16</v>
      </c>
      <c r="K9" s="38">
        <v>15</v>
      </c>
      <c r="L9" s="38">
        <v>5</v>
      </c>
      <c r="M9" s="38">
        <v>-3</v>
      </c>
      <c r="N9" s="51">
        <v>9</v>
      </c>
      <c r="O9" s="38">
        <f t="shared" ref="O9:O13" si="3">L15</f>
        <v>6</v>
      </c>
      <c r="P9" s="38">
        <f t="shared" si="2"/>
        <v>14</v>
      </c>
      <c r="Q9" s="38">
        <f t="shared" si="2"/>
        <v>15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15.91</v>
      </c>
      <c r="D10" s="10">
        <v>3</v>
      </c>
      <c r="E10" s="37">
        <v>1</v>
      </c>
      <c r="F10" s="38">
        <v>19.7</v>
      </c>
      <c r="G10" s="38">
        <v>-2</v>
      </c>
      <c r="H10" s="38">
        <v>0</v>
      </c>
      <c r="I10" s="38">
        <v>0</v>
      </c>
      <c r="J10" s="38">
        <v>-6</v>
      </c>
      <c r="K10" s="38">
        <v>-8</v>
      </c>
      <c r="L10" s="38">
        <v>-3</v>
      </c>
      <c r="M10" s="38">
        <v>-3</v>
      </c>
      <c r="N10" s="38">
        <v>-30</v>
      </c>
      <c r="O10" s="38">
        <f t="shared" si="3"/>
        <v>25</v>
      </c>
      <c r="P10" s="38">
        <f t="shared" si="2"/>
        <v>7</v>
      </c>
      <c r="Q10" s="38">
        <f t="shared" si="2"/>
        <v>-4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12.13</v>
      </c>
      <c r="D11" s="10">
        <v>4</v>
      </c>
      <c r="E11" s="37">
        <v>0</v>
      </c>
      <c r="F11" s="38">
        <v>9.6999999999999993</v>
      </c>
      <c r="G11" s="38">
        <v>4</v>
      </c>
      <c r="H11" s="38">
        <v>0</v>
      </c>
      <c r="I11" s="38">
        <v>0</v>
      </c>
      <c r="J11" s="38">
        <v>2</v>
      </c>
      <c r="K11" s="38">
        <v>14</v>
      </c>
      <c r="L11" s="38">
        <v>16</v>
      </c>
      <c r="M11" s="38">
        <v>31</v>
      </c>
      <c r="N11" s="38">
        <v>-34</v>
      </c>
      <c r="O11" s="38">
        <f t="shared" si="3"/>
        <v>-30</v>
      </c>
      <c r="P11" s="38">
        <f t="shared" si="2"/>
        <v>-9</v>
      </c>
      <c r="Q11" s="38">
        <f t="shared" si="2"/>
        <v>1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1.67</v>
      </c>
      <c r="D12" s="10">
        <v>5</v>
      </c>
      <c r="E12" s="37">
        <v>0</v>
      </c>
      <c r="F12" s="38">
        <v>2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f t="shared" si="3"/>
        <v>0</v>
      </c>
      <c r="P12" s="38">
        <f t="shared" si="2"/>
        <v>0</v>
      </c>
      <c r="Q12" s="38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10.72</v>
      </c>
      <c r="D13" s="10">
        <v>6</v>
      </c>
      <c r="E13" s="37">
        <v>1</v>
      </c>
      <c r="F13" s="38">
        <v>11</v>
      </c>
      <c r="G13" s="38">
        <v>0</v>
      </c>
      <c r="H13" s="38">
        <v>0</v>
      </c>
      <c r="I13" s="38">
        <v>0</v>
      </c>
      <c r="J13" s="38">
        <v>-8</v>
      </c>
      <c r="K13" s="38">
        <v>-2</v>
      </c>
      <c r="L13" s="38">
        <v>0</v>
      </c>
      <c r="M13" s="38">
        <v>8</v>
      </c>
      <c r="N13" s="38">
        <v>-4</v>
      </c>
      <c r="O13" s="38">
        <v>0</v>
      </c>
      <c r="P13" s="38">
        <f t="shared" si="2"/>
        <v>-4</v>
      </c>
      <c r="Q13" s="38">
        <f t="shared" si="2"/>
        <v>-8</v>
      </c>
      <c r="R13" s="38">
        <v>-7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-1.58</v>
      </c>
      <c r="D14" s="11">
        <v>1</v>
      </c>
      <c r="E14" s="43">
        <f>IF(E8=0,1,0)</f>
        <v>1</v>
      </c>
      <c r="F14" s="44">
        <v>-2</v>
      </c>
      <c r="G14" s="44">
        <f>G8</f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f>L8</f>
        <v>0</v>
      </c>
      <c r="P14" s="44">
        <f t="shared" ref="P14:Q19" si="4">M8</f>
        <v>0</v>
      </c>
      <c r="Q14" s="44">
        <f t="shared" si="4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-2.99</v>
      </c>
      <c r="D15" s="11">
        <v>2</v>
      </c>
      <c r="E15" s="43">
        <f t="shared" ref="E15:E18" si="5">IF(E9=0,1,0)</f>
        <v>0</v>
      </c>
      <c r="F15" s="44">
        <v>-8</v>
      </c>
      <c r="G15" s="44">
        <v>8</v>
      </c>
      <c r="H15" s="44">
        <v>0</v>
      </c>
      <c r="I15" s="44">
        <v>0</v>
      </c>
      <c r="J15" s="44">
        <v>-10</v>
      </c>
      <c r="K15" s="44">
        <v>2</v>
      </c>
      <c r="L15" s="44">
        <v>6</v>
      </c>
      <c r="M15" s="44">
        <v>14</v>
      </c>
      <c r="N15" s="44">
        <v>15</v>
      </c>
      <c r="O15" s="44">
        <v>6</v>
      </c>
      <c r="P15" s="44">
        <f t="shared" si="4"/>
        <v>-3</v>
      </c>
      <c r="Q15" s="44">
        <f t="shared" si="4"/>
        <v>9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10.37</v>
      </c>
      <c r="D16" s="11">
        <v>3</v>
      </c>
      <c r="E16" s="43">
        <f t="shared" si="5"/>
        <v>0</v>
      </c>
      <c r="F16" s="44">
        <v>11</v>
      </c>
      <c r="G16" s="44">
        <v>0</v>
      </c>
      <c r="H16" s="44">
        <v>0</v>
      </c>
      <c r="I16" s="44">
        <v>0</v>
      </c>
      <c r="J16" s="44">
        <v>8</v>
      </c>
      <c r="K16" s="44">
        <v>-20</v>
      </c>
      <c r="L16" s="44">
        <v>25</v>
      </c>
      <c r="M16" s="44">
        <v>7</v>
      </c>
      <c r="N16" s="44">
        <v>-4</v>
      </c>
      <c r="O16" s="44">
        <f t="shared" ref="O16:O19" si="6">L10</f>
        <v>-3</v>
      </c>
      <c r="P16" s="44">
        <f t="shared" si="4"/>
        <v>-3</v>
      </c>
      <c r="Q16" s="44">
        <f t="shared" si="4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5.01</v>
      </c>
      <c r="D17" s="11">
        <v>4</v>
      </c>
      <c r="E17" s="43">
        <f t="shared" si="5"/>
        <v>1</v>
      </c>
      <c r="F17" s="44">
        <v>6</v>
      </c>
      <c r="G17" s="44">
        <v>0</v>
      </c>
      <c r="H17" s="44">
        <v>0</v>
      </c>
      <c r="I17" s="44">
        <v>0</v>
      </c>
      <c r="J17" s="44">
        <v>16</v>
      </c>
      <c r="K17" s="51">
        <v>-30</v>
      </c>
      <c r="L17" s="51">
        <v>-30</v>
      </c>
      <c r="M17" s="44">
        <v>-9</v>
      </c>
      <c r="N17" s="44">
        <v>1</v>
      </c>
      <c r="O17" s="44">
        <f t="shared" si="6"/>
        <v>16</v>
      </c>
      <c r="P17" s="44">
        <f t="shared" si="4"/>
        <v>31</v>
      </c>
      <c r="Q17" s="44">
        <f t="shared" si="4"/>
        <v>-34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2.37</v>
      </c>
      <c r="D18" s="11">
        <v>5</v>
      </c>
      <c r="E18" s="43">
        <f t="shared" si="5"/>
        <v>1</v>
      </c>
      <c r="F18" s="44">
        <v>2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f t="shared" si="6"/>
        <v>0</v>
      </c>
      <c r="P18" s="44">
        <f t="shared" si="4"/>
        <v>0</v>
      </c>
      <c r="Q18" s="44">
        <f t="shared" si="4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8.8800000000000008</v>
      </c>
      <c r="D19" s="11">
        <v>6</v>
      </c>
      <c r="E19" s="43">
        <f>E13</f>
        <v>1</v>
      </c>
      <c r="F19" s="44">
        <v>9</v>
      </c>
      <c r="G19" s="44">
        <v>0</v>
      </c>
      <c r="H19" s="44">
        <v>0</v>
      </c>
      <c r="I19" s="44">
        <v>0</v>
      </c>
      <c r="J19" s="44">
        <v>7</v>
      </c>
      <c r="K19" s="44">
        <v>-3</v>
      </c>
      <c r="L19" s="44">
        <v>-4</v>
      </c>
      <c r="M19" s="44">
        <v>-4</v>
      </c>
      <c r="N19" s="44">
        <v>-8</v>
      </c>
      <c r="O19" s="44">
        <f t="shared" si="6"/>
        <v>0</v>
      </c>
      <c r="P19" s="44">
        <f t="shared" si="4"/>
        <v>8</v>
      </c>
      <c r="Q19" s="44">
        <f t="shared" si="4"/>
        <v>-4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0.97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10</v>
      </c>
      <c r="K20" s="51">
        <v>8</v>
      </c>
      <c r="L20" s="51">
        <v>-5</v>
      </c>
      <c r="M20" s="51">
        <v>-10</v>
      </c>
      <c r="N20" s="51">
        <v>-8</v>
      </c>
      <c r="O20" s="51">
        <f>-L20</f>
        <v>5</v>
      </c>
      <c r="P20" s="51">
        <f t="shared" ref="P20:Q20" si="7">-M20</f>
        <v>10</v>
      </c>
      <c r="Q20" s="51">
        <f t="shared" si="7"/>
        <v>8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49.66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-0.09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124.89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124.89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49.66</v>
      </c>
      <c r="D25" s="11">
        <v>5</v>
      </c>
      <c r="E25" s="43">
        <f t="shared" ref="E25:E28" si="8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1.84</v>
      </c>
      <c r="D26" s="11">
        <v>6</v>
      </c>
      <c r="E26" s="43">
        <f t="shared" si="8"/>
        <v>1</v>
      </c>
      <c r="F26" s="44">
        <v>2</v>
      </c>
      <c r="G26" s="44">
        <f t="shared" ref="G26:G28" si="9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124.98</v>
      </c>
      <c r="D27" s="11">
        <v>7</v>
      </c>
      <c r="E27" s="43">
        <f t="shared" si="8"/>
        <v>0</v>
      </c>
      <c r="F27" s="44">
        <v>125</v>
      </c>
      <c r="G27" s="44">
        <f t="shared" si="9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124.98</v>
      </c>
      <c r="D28" s="11">
        <v>8</v>
      </c>
      <c r="E28" s="43">
        <f t="shared" si="8"/>
        <v>1</v>
      </c>
      <c r="F28" s="44">
        <v>125</v>
      </c>
      <c r="G28" s="44">
        <f t="shared" si="9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0">K50+J50</f>
        <v>0</v>
      </c>
      <c r="L29" s="38">
        <f t="shared" ref="L29" si="11">L50+K50</f>
        <v>0</v>
      </c>
      <c r="M29" s="38">
        <f t="shared" ref="M29" si="12">M50+L50</f>
        <v>0</v>
      </c>
      <c r="N29" s="38">
        <f t="shared" ref="N29" si="13">N50+M50</f>
        <v>0</v>
      </c>
      <c r="O29" s="38">
        <f t="shared" ref="O29" si="14">O50+N50</f>
        <v>0</v>
      </c>
      <c r="P29" s="38">
        <f t="shared" ref="P29" si="15">P50+O50</f>
        <v>0</v>
      </c>
      <c r="Q29" s="38">
        <f t="shared" ref="Q29" si="16">Q50+P50</f>
        <v>0</v>
      </c>
      <c r="R29" s="38">
        <f t="shared" ref="R29" si="17">R50+Q50</f>
        <v>0</v>
      </c>
      <c r="S29" s="38">
        <f t="shared" ref="S29" si="18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19">J56+I56</f>
        <v>0</v>
      </c>
      <c r="K35" s="44">
        <f t="shared" ref="K35" si="20">K56+J56</f>
        <v>0</v>
      </c>
      <c r="L35" s="44">
        <f t="shared" ref="L35" si="21">L56+K56</f>
        <v>0</v>
      </c>
      <c r="M35" s="44">
        <f t="shared" ref="M35" si="22">M56+L56</f>
        <v>0</v>
      </c>
      <c r="N35" s="44">
        <f t="shared" ref="N35" si="23">N56+M56</f>
        <v>0</v>
      </c>
      <c r="O35" s="44">
        <f>L29</f>
        <v>0</v>
      </c>
      <c r="P35" s="44">
        <f t="shared" ref="P35:S40" si="24">M29</f>
        <v>0</v>
      </c>
      <c r="Q35" s="44">
        <f t="shared" si="24"/>
        <v>0</v>
      </c>
      <c r="R35" s="44">
        <f t="shared" si="24"/>
        <v>0</v>
      </c>
      <c r="S35" s="44">
        <f t="shared" si="24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5">L30</f>
        <v>7</v>
      </c>
      <c r="P36" s="44">
        <f t="shared" si="24"/>
        <v>-3</v>
      </c>
      <c r="Q36" s="44">
        <f t="shared" si="24"/>
        <v>-3</v>
      </c>
      <c r="R36" s="44">
        <f t="shared" si="24"/>
        <v>2</v>
      </c>
      <c r="S36" s="44">
        <f t="shared" si="24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5"/>
        <v>-12</v>
      </c>
      <c r="P37" s="44">
        <f t="shared" si="24"/>
        <v>-15</v>
      </c>
      <c r="Q37" s="44">
        <f t="shared" si="24"/>
        <v>-37</v>
      </c>
      <c r="R37" s="44">
        <f t="shared" si="24"/>
        <v>10</v>
      </c>
      <c r="S37" s="44">
        <f t="shared" si="24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5"/>
        <v>25</v>
      </c>
      <c r="P38" s="44">
        <f t="shared" si="24"/>
        <v>37</v>
      </c>
      <c r="Q38" s="44">
        <f t="shared" si="24"/>
        <v>-23</v>
      </c>
      <c r="R38" s="44">
        <f t="shared" si="24"/>
        <v>-5</v>
      </c>
      <c r="S38" s="44">
        <f t="shared" si="24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5"/>
        <v>0</v>
      </c>
      <c r="P39" s="44">
        <f t="shared" si="24"/>
        <v>0</v>
      </c>
      <c r="Q39" s="44">
        <f t="shared" si="24"/>
        <v>0</v>
      </c>
      <c r="R39" s="44">
        <f t="shared" si="24"/>
        <v>0</v>
      </c>
      <c r="S39" s="44">
        <f t="shared" si="24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5"/>
        <v>-7</v>
      </c>
      <c r="P40" s="44">
        <f t="shared" si="24"/>
        <v>-12</v>
      </c>
      <c r="Q40" s="44">
        <f t="shared" si="24"/>
        <v>5</v>
      </c>
      <c r="R40" s="44">
        <f t="shared" si="24"/>
        <v>3</v>
      </c>
      <c r="S40" s="44">
        <f t="shared" si="24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O15:Q19 R18:AB18 R12:AB12 O9:Q13 F15:G19 F12:N12 F14:AB14 F8:AB8 H18:N18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dynamixel_wake_b</vt:lpstr>
      <vt:lpstr>dynamixel_wake_f</vt:lpstr>
      <vt:lpstr>dynamixel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2024-07-05T01:33:28Z</dcterms:modified>
</cp:coreProperties>
</file>