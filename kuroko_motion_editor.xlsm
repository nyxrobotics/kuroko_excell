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sen\Documents\github\kuroko_excell\"/>
    </mc:Choice>
  </mc:AlternateContent>
  <bookViews>
    <workbookView xWindow="-110" yWindow="-110" windowWidth="23260" windowHeight="13180" firstSheet="8" activeTab="15"/>
  </bookViews>
  <sheets>
    <sheet name="Atk_R_low" sheetId="27" r:id="rId1"/>
    <sheet name="Atk_R_high" sheetId="26" r:id="rId2"/>
    <sheet name="Atk_B" sheetId="31" r:id="rId3"/>
    <sheet name="Atk_F" sheetId="30" r:id="rId4"/>
    <sheet name="Atk_L_low" sheetId="29" r:id="rId5"/>
    <sheet name="Atk_L_high" sheetId="28" r:id="rId6"/>
    <sheet name="WakeB" sheetId="25" r:id="rId7"/>
    <sheet name="WakeF" sheetId="24" r:id="rId8"/>
    <sheet name="Back" sheetId="33" r:id="rId9"/>
    <sheet name="Walk" sheetId="23" r:id="rId10"/>
    <sheet name="Left" sheetId="13" r:id="rId11"/>
    <sheet name="Right" sheetId="12" r:id="rId12"/>
    <sheet name="LRoll" sheetId="11" r:id="rId13"/>
    <sheet name="RRoll" sheetId="10" r:id="rId14"/>
    <sheet name="COM" sheetId="1" r:id="rId15"/>
    <sheet name="git" sheetId="34" r:id="rId16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s="1"/>
  <c r="P4" i="33" s="1"/>
  <c r="Q4" i="33" l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E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12" i="30"/>
  <c r="J4" i="30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I4" i="30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E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E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E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>
  <authors>
    <author>NYX</author>
  </authors>
  <commentList>
    <comment ref="A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<sst xmlns="http://schemas.openxmlformats.org/spreadsheetml/2006/main" count="1207" uniqueCount="90">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</sst>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\(0\)"/>
    <numFmt numFmtId="177" formatCode="0.0_ "/>
    <numFmt numFmtId="178" formatCode="0_ "/>
  </numFmts>
  <fonts count="20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theme="1"/>
      <name val="Times New Roman"/>
      <family val="1"/>
    </font>
    <font>
      <sz val="8"/>
      <color theme="1"/>
      <name val="Times New Roman"/>
      <family val="1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7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5" fillId="12" borderId="5" xfId="0" applyFont="1" applyFill="1" applyBorder="1" applyAlignment="1">
      <alignment horizontal="center" vertical="center"/>
    </xf>
    <xf numFmtId="0" fontId="4" fillId="12" borderId="5" xfId="0" applyFont="1" applyFill="1" applyBorder="1" applyAlignment="1">
      <alignment horizontal="center" vertical="center"/>
    </xf>
    <xf numFmtId="0" fontId="0" fillId="0" borderId="4" xfId="0" applyBorder="1">
      <alignment vertical="center"/>
    </xf>
    <xf numFmtId="0" fontId="4" fillId="12" borderId="4" xfId="0" applyFont="1" applyFill="1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178" fontId="0" fillId="13" borderId="5" xfId="0" applyNumberFormat="1" applyFont="1" applyFill="1" applyBorder="1" applyAlignment="1">
      <alignment horizontal="right" vertical="center"/>
    </xf>
    <xf numFmtId="178" fontId="3" fillId="13" borderId="5" xfId="0" applyNumberFormat="1" applyFont="1" applyFill="1" applyBorder="1" applyAlignment="1">
      <alignment horizontal="right" vertical="center"/>
    </xf>
    <xf numFmtId="178" fontId="3" fillId="15" borderId="5" xfId="0" applyNumberFormat="1" applyFont="1" applyFill="1" applyBorder="1" applyAlignment="1">
      <alignment horizontal="center" vertical="center"/>
    </xf>
    <xf numFmtId="176" fontId="3" fillId="15" borderId="5" xfId="0" applyNumberFormat="1" applyFont="1" applyFill="1" applyBorder="1" applyAlignment="1">
      <alignment horizontal="center" vertical="center"/>
    </xf>
    <xf numFmtId="178" fontId="0" fillId="15" borderId="5" xfId="0" applyNumberFormat="1" applyFont="1" applyFill="1" applyBorder="1" applyAlignment="1">
      <alignment horizontal="right" vertical="center"/>
    </xf>
    <xf numFmtId="176" fontId="0" fillId="15" borderId="5" xfId="0" applyNumberFormat="1" applyFont="1" applyFill="1" applyBorder="1" applyAlignment="1">
      <alignment horizontal="center" vertical="center"/>
    </xf>
    <xf numFmtId="178" fontId="0" fillId="15" borderId="5" xfId="0" applyNumberFormat="1" applyFont="1" applyFill="1" applyBorder="1" applyAlignment="1">
      <alignment horizontal="center" vertical="center"/>
    </xf>
    <xf numFmtId="178" fontId="3" fillId="15" borderId="5" xfId="0" applyNumberFormat="1" applyFont="1" applyFill="1" applyBorder="1" applyAlignment="1">
      <alignment horizontal="right" vertical="center"/>
    </xf>
    <xf numFmtId="178" fontId="8" fillId="10" borderId="5" xfId="0" applyNumberFormat="1" applyFont="1" applyFill="1" applyBorder="1" applyAlignment="1">
      <alignment horizontal="center" vertical="center"/>
    </xf>
    <xf numFmtId="178" fontId="8" fillId="11" borderId="5" xfId="0" applyNumberFormat="1" applyFont="1" applyFill="1" applyBorder="1" applyAlignment="1">
      <alignment horizontal="center" vertical="center"/>
    </xf>
    <xf numFmtId="178" fontId="8" fillId="12" borderId="5" xfId="0" applyNumberFormat="1" applyFont="1" applyFill="1" applyBorder="1" applyAlignment="1">
      <alignment horizontal="center" vertical="center"/>
    </xf>
    <xf numFmtId="0" fontId="9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177" fontId="10" fillId="0" borderId="0" xfId="0" applyNumberFormat="1" applyFont="1" applyAlignment="1">
      <alignment horizontal="right" vertical="center"/>
    </xf>
    <xf numFmtId="0" fontId="9" fillId="2" borderId="1" xfId="0" applyFont="1" applyFill="1" applyBorder="1">
      <alignment vertical="center"/>
    </xf>
    <xf numFmtId="0" fontId="9" fillId="2" borderId="2" xfId="0" applyFont="1" applyFill="1" applyBorder="1">
      <alignment vertical="center"/>
    </xf>
    <xf numFmtId="0" fontId="9" fillId="2" borderId="3" xfId="0" applyFont="1" applyFill="1" applyBorder="1">
      <alignment vertical="center"/>
    </xf>
    <xf numFmtId="177" fontId="9" fillId="0" borderId="0" xfId="0" applyNumberFormat="1" applyFont="1" applyAlignment="1">
      <alignment horizontal="right" vertical="center"/>
    </xf>
    <xf numFmtId="177" fontId="9" fillId="3" borderId="0" xfId="0" applyNumberFormat="1" applyFont="1" applyFill="1" applyAlignment="1">
      <alignment horizontal="right" vertical="center"/>
    </xf>
    <xf numFmtId="177" fontId="9" fillId="0" borderId="0" xfId="0" applyNumberFormat="1" applyFont="1">
      <alignment vertical="center"/>
    </xf>
    <xf numFmtId="176" fontId="9" fillId="0" borderId="0" xfId="0" applyNumberFormat="1" applyFont="1" applyBorder="1" applyAlignment="1">
      <alignment horizontal="center" vertical="center"/>
    </xf>
    <xf numFmtId="177" fontId="9" fillId="4" borderId="0" xfId="0" applyNumberFormat="1" applyFont="1" applyFill="1" applyAlignment="1">
      <alignment horizontal="right" vertical="center"/>
    </xf>
    <xf numFmtId="177" fontId="9" fillId="5" borderId="0" xfId="0" applyNumberFormat="1" applyFont="1" applyFill="1" applyAlignment="1">
      <alignment horizontal="right" vertical="center"/>
    </xf>
    <xf numFmtId="177" fontId="9" fillId="6" borderId="0" xfId="0" applyNumberFormat="1" applyFont="1" applyFill="1" applyAlignment="1">
      <alignment horizontal="right" vertical="center"/>
    </xf>
    <xf numFmtId="177" fontId="9" fillId="8" borderId="0" xfId="0" applyNumberFormat="1" applyFont="1" applyFill="1" applyAlignment="1">
      <alignment horizontal="right" vertical="center"/>
    </xf>
    <xf numFmtId="177" fontId="9" fillId="0" borderId="5" xfId="0" applyNumberFormat="1" applyFont="1" applyBorder="1" applyAlignment="1">
      <alignment horizontal="right" vertical="center"/>
    </xf>
    <xf numFmtId="176" fontId="9" fillId="0" borderId="5" xfId="0" applyNumberFormat="1" applyFont="1" applyBorder="1" applyAlignment="1">
      <alignment horizontal="center" vertical="center"/>
    </xf>
    <xf numFmtId="0" fontId="9" fillId="9" borderId="5" xfId="0" applyFont="1" applyFill="1" applyBorder="1">
      <alignment vertical="center"/>
    </xf>
    <xf numFmtId="0" fontId="15" fillId="12" borderId="5" xfId="0" applyFont="1" applyFill="1" applyBorder="1" applyAlignment="1">
      <alignment horizontal="center" vertical="center"/>
    </xf>
    <xf numFmtId="177" fontId="15" fillId="14" borderId="5" xfId="0" applyNumberFormat="1" applyFont="1" applyFill="1" applyBorder="1" applyAlignment="1">
      <alignment horizontal="center" vertical="center"/>
    </xf>
    <xf numFmtId="177" fontId="9" fillId="7" borderId="5" xfId="0" applyNumberFormat="1" applyFont="1" applyFill="1" applyBorder="1" applyAlignment="1">
      <alignment horizontal="right" vertical="center"/>
    </xf>
    <xf numFmtId="178" fontId="15" fillId="0" borderId="5" xfId="0" applyNumberFormat="1" applyFont="1" applyBorder="1" applyAlignment="1">
      <alignment horizontal="center" vertical="center"/>
    </xf>
    <xf numFmtId="177" fontId="9" fillId="10" borderId="5" xfId="0" applyNumberFormat="1" applyFont="1" applyFill="1" applyBorder="1" applyAlignment="1">
      <alignment horizontal="right" vertical="center"/>
    </xf>
    <xf numFmtId="176" fontId="16" fillId="10" borderId="5" xfId="0" applyNumberFormat="1" applyFont="1" applyFill="1" applyBorder="1" applyAlignment="1">
      <alignment horizontal="center" vertical="center"/>
    </xf>
    <xf numFmtId="177" fontId="10" fillId="10" borderId="5" xfId="0" applyNumberFormat="1" applyFont="1" applyFill="1" applyBorder="1" applyAlignment="1">
      <alignment horizontal="right" vertical="center"/>
    </xf>
    <xf numFmtId="178" fontId="16" fillId="10" borderId="5" xfId="0" applyNumberFormat="1" applyFont="1" applyFill="1" applyBorder="1" applyAlignment="1">
      <alignment horizontal="center" vertical="center"/>
    </xf>
    <xf numFmtId="177" fontId="16" fillId="10" borderId="5" xfId="0" applyNumberFormat="1" applyFont="1" applyFill="1" applyBorder="1" applyAlignment="1">
      <alignment horizontal="right" vertical="center"/>
    </xf>
    <xf numFmtId="176" fontId="16" fillId="10" borderId="5" xfId="0" quotePrefix="1" applyNumberFormat="1" applyFont="1" applyFill="1" applyBorder="1" applyAlignment="1">
      <alignment horizontal="center" vertical="center"/>
    </xf>
    <xf numFmtId="177" fontId="9" fillId="11" borderId="5" xfId="0" applyNumberFormat="1" applyFont="1" applyFill="1" applyBorder="1" applyAlignment="1">
      <alignment horizontal="right" vertical="center"/>
    </xf>
    <xf numFmtId="176" fontId="16" fillId="11" borderId="5" xfId="0" quotePrefix="1" applyNumberFormat="1" applyFont="1" applyFill="1" applyBorder="1" applyAlignment="1">
      <alignment horizontal="center" vertical="center"/>
    </xf>
    <xf numFmtId="177" fontId="10" fillId="11" borderId="5" xfId="0" applyNumberFormat="1" applyFont="1" applyFill="1" applyBorder="1" applyAlignment="1">
      <alignment horizontal="right" vertical="center"/>
    </xf>
    <xf numFmtId="178" fontId="14" fillId="11" borderId="5" xfId="0" applyNumberFormat="1" applyFont="1" applyFill="1" applyBorder="1" applyAlignment="1">
      <alignment horizontal="center" vertical="center"/>
    </xf>
    <xf numFmtId="177" fontId="16" fillId="11" borderId="5" xfId="0" applyNumberFormat="1" applyFont="1" applyFill="1" applyBorder="1" applyAlignment="1">
      <alignment horizontal="right" vertical="center"/>
    </xf>
    <xf numFmtId="176" fontId="16" fillId="11" borderId="5" xfId="0" applyNumberFormat="1" applyFont="1" applyFill="1" applyBorder="1" applyAlignment="1">
      <alignment horizontal="center" vertical="center"/>
    </xf>
    <xf numFmtId="176" fontId="9" fillId="11" borderId="5" xfId="0" applyNumberFormat="1" applyFont="1" applyFill="1" applyBorder="1" applyAlignment="1">
      <alignment horizontal="center" vertical="center"/>
    </xf>
    <xf numFmtId="177" fontId="9" fillId="12" borderId="5" xfId="0" applyNumberFormat="1" applyFont="1" applyFill="1" applyBorder="1" applyAlignment="1">
      <alignment horizontal="right" vertical="center"/>
    </xf>
    <xf numFmtId="176" fontId="16" fillId="12" borderId="5" xfId="0" applyNumberFormat="1" applyFont="1" applyFill="1" applyBorder="1" applyAlignment="1">
      <alignment horizontal="center" vertical="center"/>
    </xf>
    <xf numFmtId="177" fontId="10" fillId="12" borderId="5" xfId="0" applyNumberFormat="1" applyFont="1" applyFill="1" applyBorder="1" applyAlignment="1">
      <alignment horizontal="right" vertical="center"/>
    </xf>
    <xf numFmtId="178" fontId="16" fillId="12" borderId="5" xfId="0" applyNumberFormat="1" applyFont="1" applyFill="1" applyBorder="1" applyAlignment="1">
      <alignment horizontal="center" vertical="center"/>
    </xf>
    <xf numFmtId="177" fontId="16" fillId="12" borderId="5" xfId="0" applyNumberFormat="1" applyFont="1" applyFill="1" applyBorder="1" applyAlignment="1">
      <alignment horizontal="right" vertical="center"/>
    </xf>
    <xf numFmtId="177" fontId="9" fillId="15" borderId="5" xfId="0" applyNumberFormat="1" applyFont="1" applyFill="1" applyBorder="1" applyAlignment="1">
      <alignment horizontal="right" vertical="center"/>
    </xf>
    <xf numFmtId="176" fontId="16" fillId="15" borderId="5" xfId="0" applyNumberFormat="1" applyFont="1" applyFill="1" applyBorder="1" applyAlignment="1">
      <alignment horizontal="center" vertical="center"/>
    </xf>
    <xf numFmtId="177" fontId="10" fillId="15" borderId="5" xfId="0" applyNumberFormat="1" applyFont="1" applyFill="1" applyBorder="1" applyAlignment="1">
      <alignment horizontal="right" vertical="center"/>
    </xf>
    <xf numFmtId="177" fontId="16" fillId="15" borderId="5" xfId="0" applyNumberFormat="1" applyFont="1" applyFill="1" applyBorder="1" applyAlignment="1">
      <alignment horizontal="center" vertical="center"/>
    </xf>
    <xf numFmtId="178" fontId="16" fillId="15" borderId="5" xfId="0" applyNumberFormat="1" applyFont="1" applyFill="1" applyBorder="1" applyAlignment="1">
      <alignment horizontal="center" vertical="center"/>
    </xf>
    <xf numFmtId="177" fontId="16" fillId="15" borderId="5" xfId="0" applyNumberFormat="1" applyFont="1" applyFill="1" applyBorder="1" applyAlignment="1">
      <alignment horizontal="right" vertical="center"/>
    </xf>
    <xf numFmtId="177" fontId="16" fillId="13" borderId="5" xfId="0" applyNumberFormat="1" applyFont="1" applyFill="1" applyBorder="1" applyAlignment="1">
      <alignment horizontal="right" vertical="center"/>
    </xf>
    <xf numFmtId="0" fontId="9" fillId="0" borderId="0" xfId="0" applyFont="1" applyBorder="1">
      <alignment vertical="center"/>
    </xf>
    <xf numFmtId="177" fontId="9" fillId="0" borderId="0" xfId="0" applyNumberFormat="1" applyFont="1" applyBorder="1" applyAlignment="1">
      <alignment horizontal="right" vertical="center"/>
    </xf>
    <xf numFmtId="177" fontId="12" fillId="0" borderId="0" xfId="0" applyNumberFormat="1" applyFont="1" applyAlignment="1">
      <alignment horizontal="center" vertical="center"/>
    </xf>
    <xf numFmtId="178" fontId="14" fillId="5" borderId="0" xfId="0" applyNumberFormat="1" applyFont="1" applyFill="1" applyAlignment="1">
      <alignment horizontal="center" vertical="center"/>
    </xf>
    <xf numFmtId="178" fontId="9" fillId="0" borderId="0" xfId="0" applyNumberFormat="1" applyFont="1" applyAlignment="1">
      <alignment horizontal="center" vertical="center"/>
    </xf>
    <xf numFmtId="176" fontId="9" fillId="7" borderId="5" xfId="0" applyNumberFormat="1" applyFont="1" applyFill="1" applyBorder="1" applyAlignment="1">
      <alignment horizontal="center" vertical="center"/>
    </xf>
    <xf numFmtId="0" fontId="9" fillId="6" borderId="5" xfId="0" applyFont="1" applyFill="1" applyBorder="1">
      <alignment vertical="center"/>
    </xf>
    <xf numFmtId="176" fontId="9" fillId="17" borderId="5" xfId="0" applyNumberFormat="1" applyFont="1" applyFill="1" applyBorder="1" applyAlignment="1">
      <alignment horizontal="center" vertical="center"/>
    </xf>
    <xf numFmtId="178" fontId="11" fillId="16" borderId="5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9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3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3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3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3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3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3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3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3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3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3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3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3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3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3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3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3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3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3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3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3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3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3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4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4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4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4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8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A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A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SpPr/>
      </xdr:nvSpPr>
      <xdr:spPr>
        <a:xfrm>
          <a:off x="2743200" y="0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800">
              <a:latin typeface="Times New Roman" panose="02020603050405020304" pitchFamily="18" charset="0"/>
              <a:cs typeface="Times New Roman" panose="02020603050405020304" pitchFamily="18" charset="0"/>
            </a:rPr>
            <a:t>FreePacket</a:t>
          </a:r>
          <a:endParaRPr kumimoji="1" lang="ja-JP" altLang="en-US" sz="8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/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0"/>
  <dimension ref="A1:AB57"/>
  <sheetViews>
    <sheetView topLeftCell="G1" workbookViewId="0">
      <selection activeCell="L12" sqref="L12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 t="s">
        <v>76</v>
      </c>
      <c r="N1" s="23"/>
      <c r="O1" s="23"/>
      <c r="P1" s="23" t="s">
        <v>76</v>
      </c>
      <c r="Q1" s="23" t="s">
        <v>76</v>
      </c>
      <c r="R1" s="23"/>
      <c r="S1" s="23" t="s">
        <v>76</v>
      </c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5</v>
      </c>
      <c r="B2" s="70" t="s">
        <v>75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122</v>
      </c>
      <c r="L4" s="68">
        <f t="shared" si="0"/>
        <v>132</v>
      </c>
      <c r="M4" s="68">
        <f t="shared" si="0"/>
        <v>142</v>
      </c>
      <c r="N4" s="68">
        <f t="shared" si="0"/>
        <v>147</v>
      </c>
      <c r="O4" s="68">
        <f t="shared" si="0"/>
        <v>187</v>
      </c>
      <c r="P4" s="68">
        <f t="shared" si="0"/>
        <v>207</v>
      </c>
      <c r="Q4" s="68">
        <f t="shared" si="0"/>
        <v>212</v>
      </c>
      <c r="R4" s="68">
        <f t="shared" si="0"/>
        <v>232</v>
      </c>
      <c r="S4" s="68">
        <f t="shared" si="0"/>
        <v>262</v>
      </c>
      <c r="T4" s="68">
        <f t="shared" si="0"/>
        <v>267</v>
      </c>
      <c r="U4" s="68">
        <f t="shared" si="0"/>
        <v>307</v>
      </c>
      <c r="V4" s="68">
        <f t="shared" si="0"/>
        <v>337</v>
      </c>
      <c r="W4" s="68">
        <f t="shared" si="0"/>
        <v>357</v>
      </c>
      <c r="X4" s="68">
        <f t="shared" si="0"/>
        <v>457</v>
      </c>
      <c r="Y4" s="68">
        <f t="shared" si="0"/>
        <v>557</v>
      </c>
      <c r="Z4" s="68">
        <f t="shared" si="0"/>
        <v>657</v>
      </c>
      <c r="AA4" s="68">
        <f t="shared" si="0"/>
        <v>757</v>
      </c>
      <c r="AB4" s="68">
        <f t="shared" si="0"/>
        <v>857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20</v>
      </c>
      <c r="K5" s="69">
        <v>10</v>
      </c>
      <c r="L5" s="69">
        <v>10</v>
      </c>
      <c r="M5" s="69">
        <v>5</v>
      </c>
      <c r="N5" s="69">
        <v>40</v>
      </c>
      <c r="O5" s="69">
        <v>20</v>
      </c>
      <c r="P5" s="69">
        <v>5</v>
      </c>
      <c r="Q5" s="69">
        <v>20</v>
      </c>
      <c r="R5" s="69">
        <v>30</v>
      </c>
      <c r="S5" s="69">
        <v>5</v>
      </c>
      <c r="T5" s="69">
        <v>20</v>
      </c>
      <c r="U5" s="69">
        <v>10</v>
      </c>
      <c r="V5" s="69">
        <v>20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20</v>
      </c>
      <c r="U6" s="69">
        <v>20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2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10</v>
      </c>
      <c r="K8" s="44">
        <v>15</v>
      </c>
      <c r="L8" s="44">
        <v>25</v>
      </c>
      <c r="M8" s="44">
        <v>0</v>
      </c>
      <c r="N8" s="44">
        <v>0</v>
      </c>
      <c r="O8" s="44">
        <v>-20</v>
      </c>
      <c r="P8" s="44">
        <v>-20</v>
      </c>
      <c r="Q8" s="44">
        <v>0</v>
      </c>
      <c r="R8" s="44">
        <v>0</v>
      </c>
      <c r="S8" s="44">
        <v>0</v>
      </c>
      <c r="T8" s="44">
        <v>-5</v>
      </c>
      <c r="U8" s="44">
        <v>-10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-17</v>
      </c>
      <c r="K9" s="44">
        <v>-18</v>
      </c>
      <c r="L9" s="44">
        <v>-25</v>
      </c>
      <c r="M9" s="44">
        <v>-45</v>
      </c>
      <c r="N9" s="44">
        <v>-45</v>
      </c>
      <c r="O9" s="44">
        <v>0</v>
      </c>
      <c r="P9" s="44">
        <v>0</v>
      </c>
      <c r="Q9" s="44">
        <v>-45</v>
      </c>
      <c r="R9" s="44">
        <v>-45</v>
      </c>
      <c r="S9" s="44">
        <v>-45</v>
      </c>
      <c r="T9" s="44">
        <v>-35</v>
      </c>
      <c r="U9" s="44">
        <v>-25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-13</v>
      </c>
      <c r="K10" s="44">
        <v>-20</v>
      </c>
      <c r="L10" s="44">
        <v>0</v>
      </c>
      <c r="M10" s="44">
        <v>30</v>
      </c>
      <c r="N10" s="44">
        <v>30</v>
      </c>
      <c r="O10" s="44">
        <v>30</v>
      </c>
      <c r="P10" s="44">
        <v>30</v>
      </c>
      <c r="Q10" s="44">
        <v>30</v>
      </c>
      <c r="R10" s="44">
        <v>30</v>
      </c>
      <c r="S10" s="44">
        <v>30</v>
      </c>
      <c r="T10" s="44">
        <v>-35</v>
      </c>
      <c r="U10" s="44">
        <v>-25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-10</v>
      </c>
      <c r="K11" s="44">
        <v>-15</v>
      </c>
      <c r="L11" s="44">
        <v>-15</v>
      </c>
      <c r="M11" s="44">
        <v>5</v>
      </c>
      <c r="N11" s="44">
        <v>5</v>
      </c>
      <c r="O11" s="44">
        <v>5</v>
      </c>
      <c r="P11" s="44">
        <v>5</v>
      </c>
      <c r="Q11" s="44">
        <v>5</v>
      </c>
      <c r="R11" s="44">
        <v>5</v>
      </c>
      <c r="S11" s="44">
        <v>5</v>
      </c>
      <c r="T11" s="44">
        <v>-10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-10</v>
      </c>
      <c r="K12" s="50">
        <v>0</v>
      </c>
      <c r="L12" s="50">
        <v>-20</v>
      </c>
      <c r="M12" s="50">
        <v>-5</v>
      </c>
      <c r="N12" s="50">
        <v>-5</v>
      </c>
      <c r="O12" s="50">
        <v>15</v>
      </c>
      <c r="P12" s="50">
        <v>15</v>
      </c>
      <c r="Q12" s="50">
        <v>-5</v>
      </c>
      <c r="R12" s="50">
        <v>-5</v>
      </c>
      <c r="S12" s="50">
        <v>-5</v>
      </c>
      <c r="T12" s="50">
        <v>-30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-12</v>
      </c>
      <c r="K13" s="50">
        <v>-18</v>
      </c>
      <c r="L13" s="50">
        <v>10</v>
      </c>
      <c r="M13" s="50">
        <v>30</v>
      </c>
      <c r="N13" s="50">
        <v>30</v>
      </c>
      <c r="O13" s="50">
        <v>10</v>
      </c>
      <c r="P13" s="50">
        <v>10</v>
      </c>
      <c r="Q13" s="50">
        <v>30</v>
      </c>
      <c r="R13" s="50">
        <v>30</v>
      </c>
      <c r="S13" s="50">
        <v>30</v>
      </c>
      <c r="T13" s="50">
        <v>-25</v>
      </c>
      <c r="U13" s="50">
        <v>-30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-8</v>
      </c>
      <c r="K14" s="50">
        <v>-20</v>
      </c>
      <c r="L14" s="50">
        <v>-40</v>
      </c>
      <c r="M14" s="50">
        <v>-45</v>
      </c>
      <c r="N14" s="50">
        <v>-45</v>
      </c>
      <c r="O14" s="50">
        <v>-10</v>
      </c>
      <c r="P14" s="50">
        <v>-10</v>
      </c>
      <c r="Q14" s="50">
        <v>-45</v>
      </c>
      <c r="R14" s="50">
        <v>-45</v>
      </c>
      <c r="S14" s="50">
        <v>-45</v>
      </c>
      <c r="T14" s="50">
        <v>-25</v>
      </c>
      <c r="U14" s="50">
        <v>-30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10</v>
      </c>
      <c r="K15" s="50">
        <v>-5</v>
      </c>
      <c r="L15" s="50">
        <v>0</v>
      </c>
      <c r="M15" s="50">
        <v>0</v>
      </c>
      <c r="N15" s="50">
        <v>0</v>
      </c>
      <c r="O15" s="50">
        <v>0</v>
      </c>
      <c r="P15" s="50">
        <v>0</v>
      </c>
      <c r="Q15" s="50">
        <v>0</v>
      </c>
      <c r="R15" s="50">
        <v>0</v>
      </c>
      <c r="S15" s="50">
        <v>0</v>
      </c>
      <c r="T15" s="50">
        <v>30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-30</v>
      </c>
      <c r="K16" s="57">
        <v>-45</v>
      </c>
      <c r="L16" s="57">
        <v>-50</v>
      </c>
      <c r="M16" s="57">
        <v>-100</v>
      </c>
      <c r="N16" s="57">
        <v>-100</v>
      </c>
      <c r="O16" s="57">
        <v>-100</v>
      </c>
      <c r="P16" s="57">
        <v>-100</v>
      </c>
      <c r="Q16" s="57">
        <v>-100</v>
      </c>
      <c r="R16" s="57">
        <v>-50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-150</v>
      </c>
      <c r="K17" s="44">
        <v>-40</v>
      </c>
      <c r="L17" s="44">
        <v>-30</v>
      </c>
      <c r="M17" s="44">
        <v>-60</v>
      </c>
      <c r="N17" s="44">
        <v>-120</v>
      </c>
      <c r="O17" s="44">
        <v>-120</v>
      </c>
      <c r="P17" s="44">
        <v>-150</v>
      </c>
      <c r="Q17" s="44">
        <v>-40</v>
      </c>
      <c r="R17" s="44">
        <v>0</v>
      </c>
      <c r="S17" s="44">
        <v>100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45</v>
      </c>
      <c r="K18" s="44">
        <v>20</v>
      </c>
      <c r="L18" s="44">
        <v>0</v>
      </c>
      <c r="M18" s="44">
        <v>30</v>
      </c>
      <c r="N18" s="44">
        <v>80</v>
      </c>
      <c r="O18" s="44">
        <v>80</v>
      </c>
      <c r="P18" s="44">
        <v>80</v>
      </c>
      <c r="Q18" s="44">
        <v>80</v>
      </c>
      <c r="R18" s="44">
        <v>80</v>
      </c>
      <c r="S18" s="44">
        <v>80</v>
      </c>
      <c r="T18" s="44">
        <v>15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-90</v>
      </c>
      <c r="N19" s="44">
        <v>-120</v>
      </c>
      <c r="O19" s="44">
        <v>-120</v>
      </c>
      <c r="P19" s="44">
        <v>-120</v>
      </c>
      <c r="Q19" s="44">
        <v>-90</v>
      </c>
      <c r="R19" s="44">
        <v>-80</v>
      </c>
      <c r="S19" s="44">
        <v>-80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-180</v>
      </c>
      <c r="K20" s="44">
        <v>-180</v>
      </c>
      <c r="L20" s="44">
        <v>-150</v>
      </c>
      <c r="M20" s="44">
        <v>-90</v>
      </c>
      <c r="N20" s="44">
        <v>-120</v>
      </c>
      <c r="O20" s="44">
        <v>-120</v>
      </c>
      <c r="P20" s="44">
        <v>-120</v>
      </c>
      <c r="Q20" s="44">
        <v>-90</v>
      </c>
      <c r="R20" s="44">
        <v>-80</v>
      </c>
      <c r="S20" s="44">
        <v>-80</v>
      </c>
      <c r="T20" s="44">
        <v>-180</v>
      </c>
      <c r="U20" s="44">
        <v>-180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-30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-17</v>
      </c>
      <c r="K25" s="64">
        <f t="shared" si="3"/>
        <v>-18</v>
      </c>
      <c r="L25" s="64">
        <f t="shared" si="3"/>
        <v>-25</v>
      </c>
      <c r="M25" s="64">
        <f t="shared" si="3"/>
        <v>-45</v>
      </c>
      <c r="N25" s="64">
        <f t="shared" si="3"/>
        <v>-45</v>
      </c>
      <c r="O25" s="64">
        <f t="shared" si="3"/>
        <v>0</v>
      </c>
      <c r="P25" s="64">
        <f t="shared" si="3"/>
        <v>0</v>
      </c>
      <c r="Q25" s="64">
        <f t="shared" si="3"/>
        <v>-45</v>
      </c>
      <c r="R25" s="64">
        <f t="shared" si="3"/>
        <v>-45</v>
      </c>
      <c r="S25" s="64">
        <f t="shared" si="3"/>
        <v>-45</v>
      </c>
      <c r="T25" s="64">
        <f t="shared" si="3"/>
        <v>-35</v>
      </c>
      <c r="U25" s="64">
        <f t="shared" si="3"/>
        <v>-25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-13</v>
      </c>
      <c r="K26" s="64">
        <f t="shared" si="3"/>
        <v>-20</v>
      </c>
      <c r="L26" s="64">
        <f t="shared" si="3"/>
        <v>0</v>
      </c>
      <c r="M26" s="64">
        <f t="shared" si="3"/>
        <v>30</v>
      </c>
      <c r="N26" s="64">
        <f t="shared" si="3"/>
        <v>30</v>
      </c>
      <c r="O26" s="64">
        <f t="shared" si="3"/>
        <v>30</v>
      </c>
      <c r="P26" s="64">
        <f t="shared" si="3"/>
        <v>30</v>
      </c>
      <c r="Q26" s="64">
        <f t="shared" si="3"/>
        <v>30</v>
      </c>
      <c r="R26" s="64">
        <f t="shared" si="3"/>
        <v>30</v>
      </c>
      <c r="S26" s="64">
        <f t="shared" si="3"/>
        <v>30</v>
      </c>
      <c r="T26" s="64">
        <f t="shared" si="3"/>
        <v>-35</v>
      </c>
      <c r="U26" s="64">
        <f t="shared" si="3"/>
        <v>-25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-12</v>
      </c>
      <c r="K27" s="64">
        <f t="shared" si="5"/>
        <v>-18</v>
      </c>
      <c r="L27" s="64">
        <f t="shared" si="5"/>
        <v>10</v>
      </c>
      <c r="M27" s="64">
        <f t="shared" si="5"/>
        <v>30</v>
      </c>
      <c r="N27" s="64">
        <f t="shared" si="5"/>
        <v>30</v>
      </c>
      <c r="O27" s="64">
        <f t="shared" si="5"/>
        <v>10</v>
      </c>
      <c r="P27" s="64">
        <f t="shared" si="5"/>
        <v>10</v>
      </c>
      <c r="Q27" s="64">
        <f t="shared" si="5"/>
        <v>30</v>
      </c>
      <c r="R27" s="64">
        <f t="shared" si="5"/>
        <v>30</v>
      </c>
      <c r="S27" s="64">
        <f t="shared" si="5"/>
        <v>30</v>
      </c>
      <c r="T27" s="64">
        <f t="shared" si="5"/>
        <v>-25</v>
      </c>
      <c r="U27" s="64">
        <f t="shared" si="5"/>
        <v>-30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-8</v>
      </c>
      <c r="K28" s="64">
        <f t="shared" si="5"/>
        <v>-20</v>
      </c>
      <c r="L28" s="64">
        <f t="shared" si="5"/>
        <v>-40</v>
      </c>
      <c r="M28" s="64">
        <f t="shared" si="5"/>
        <v>-45</v>
      </c>
      <c r="N28" s="64">
        <f t="shared" si="5"/>
        <v>-45</v>
      </c>
      <c r="O28" s="64">
        <f t="shared" si="5"/>
        <v>-10</v>
      </c>
      <c r="P28" s="64">
        <f t="shared" si="5"/>
        <v>-10</v>
      </c>
      <c r="Q28" s="64">
        <f t="shared" si="5"/>
        <v>-45</v>
      </c>
      <c r="R28" s="64">
        <f t="shared" si="5"/>
        <v>-45</v>
      </c>
      <c r="S28" s="64">
        <f t="shared" si="5"/>
        <v>-45</v>
      </c>
      <c r="T28" s="64">
        <f t="shared" si="5"/>
        <v>-25</v>
      </c>
      <c r="U28" s="64">
        <f t="shared" si="5"/>
        <v>-30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45</v>
      </c>
      <c r="K29" s="64">
        <f t="shared" si="6"/>
        <v>20</v>
      </c>
      <c r="L29" s="64">
        <f t="shared" si="6"/>
        <v>0</v>
      </c>
      <c r="M29" s="64">
        <f t="shared" si="6"/>
        <v>30</v>
      </c>
      <c r="N29" s="64">
        <f t="shared" si="6"/>
        <v>80</v>
      </c>
      <c r="O29" s="64">
        <f t="shared" si="6"/>
        <v>80</v>
      </c>
      <c r="P29" s="64">
        <f t="shared" si="6"/>
        <v>80</v>
      </c>
      <c r="Q29" s="64">
        <f t="shared" si="6"/>
        <v>80</v>
      </c>
      <c r="R29" s="64">
        <f t="shared" si="6"/>
        <v>80</v>
      </c>
      <c r="S29" s="64">
        <f t="shared" si="6"/>
        <v>80</v>
      </c>
      <c r="T29" s="64">
        <f t="shared" si="6"/>
        <v>15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0</v>
      </c>
      <c r="K30" s="64">
        <f t="shared" si="7"/>
        <v>0</v>
      </c>
      <c r="L30" s="64">
        <f t="shared" si="7"/>
        <v>0</v>
      </c>
      <c r="M30" s="64">
        <f t="shared" si="7"/>
        <v>0</v>
      </c>
      <c r="N30" s="64">
        <f t="shared" si="7"/>
        <v>0</v>
      </c>
      <c r="O30" s="64">
        <f t="shared" si="7"/>
        <v>0</v>
      </c>
      <c r="P30" s="64">
        <f t="shared" si="7"/>
        <v>0</v>
      </c>
      <c r="Q30" s="64">
        <f t="shared" si="7"/>
        <v>0</v>
      </c>
      <c r="R30" s="64">
        <f t="shared" si="7"/>
        <v>0</v>
      </c>
      <c r="S30" s="64">
        <f t="shared" si="7"/>
        <v>0</v>
      </c>
      <c r="T30" s="64">
        <f t="shared" si="7"/>
        <v>-30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10</v>
      </c>
      <c r="K35" s="74">
        <f t="shared" ref="K35:Z35" si="8">K8</f>
        <v>15</v>
      </c>
      <c r="L35" s="74">
        <f t="shared" si="8"/>
        <v>25</v>
      </c>
      <c r="M35" s="74">
        <f t="shared" si="8"/>
        <v>0</v>
      </c>
      <c r="N35" s="74">
        <f t="shared" si="8"/>
        <v>0</v>
      </c>
      <c r="O35" s="74">
        <f t="shared" si="8"/>
        <v>-20</v>
      </c>
      <c r="P35" s="74">
        <f t="shared" si="8"/>
        <v>-20</v>
      </c>
      <c r="Q35" s="74">
        <f t="shared" si="8"/>
        <v>0</v>
      </c>
      <c r="R35" s="74">
        <f t="shared" si="8"/>
        <v>0</v>
      </c>
      <c r="S35" s="74">
        <f t="shared" si="8"/>
        <v>0</v>
      </c>
      <c r="T35" s="74">
        <f t="shared" si="8"/>
        <v>-5</v>
      </c>
      <c r="U35" s="74">
        <f t="shared" si="8"/>
        <v>-10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-22</v>
      </c>
      <c r="K36" s="74">
        <f t="shared" ref="K36:Z36" si="9">K9-5</f>
        <v>-23</v>
      </c>
      <c r="L36" s="74">
        <f t="shared" si="9"/>
        <v>-30</v>
      </c>
      <c r="M36" s="74">
        <f t="shared" si="9"/>
        <v>-50</v>
      </c>
      <c r="N36" s="74">
        <f t="shared" si="9"/>
        <v>-50</v>
      </c>
      <c r="O36" s="74">
        <f t="shared" si="9"/>
        <v>-5</v>
      </c>
      <c r="P36" s="74">
        <f t="shared" si="9"/>
        <v>-5</v>
      </c>
      <c r="Q36" s="74">
        <f t="shared" si="9"/>
        <v>-50</v>
      </c>
      <c r="R36" s="74">
        <f t="shared" si="9"/>
        <v>-50</v>
      </c>
      <c r="S36" s="74">
        <f t="shared" si="9"/>
        <v>-50</v>
      </c>
      <c r="T36" s="74">
        <f t="shared" si="9"/>
        <v>-40</v>
      </c>
      <c r="U36" s="74">
        <f t="shared" si="9"/>
        <v>-30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-8</v>
      </c>
      <c r="K37" s="74">
        <f t="shared" ref="K37:Z37" si="10">K10+5</f>
        <v>-15</v>
      </c>
      <c r="L37" s="74">
        <f t="shared" si="10"/>
        <v>5</v>
      </c>
      <c r="M37" s="74">
        <f t="shared" si="10"/>
        <v>35</v>
      </c>
      <c r="N37" s="74">
        <f t="shared" si="10"/>
        <v>35</v>
      </c>
      <c r="O37" s="74">
        <f t="shared" si="10"/>
        <v>35</v>
      </c>
      <c r="P37" s="74">
        <f t="shared" si="10"/>
        <v>35</v>
      </c>
      <c r="Q37" s="74">
        <f t="shared" si="10"/>
        <v>35</v>
      </c>
      <c r="R37" s="74">
        <f t="shared" si="10"/>
        <v>35</v>
      </c>
      <c r="S37" s="74">
        <f t="shared" si="10"/>
        <v>35</v>
      </c>
      <c r="T37" s="74">
        <f t="shared" si="10"/>
        <v>-30</v>
      </c>
      <c r="U37" s="74">
        <f t="shared" si="10"/>
        <v>-20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Z42" si="11">J11</f>
        <v>-10</v>
      </c>
      <c r="K38" s="74">
        <f t="shared" si="11"/>
        <v>-15</v>
      </c>
      <c r="L38" s="74">
        <f t="shared" si="11"/>
        <v>-15</v>
      </c>
      <c r="M38" s="74">
        <f t="shared" si="11"/>
        <v>5</v>
      </c>
      <c r="N38" s="74">
        <f t="shared" si="11"/>
        <v>5</v>
      </c>
      <c r="O38" s="74">
        <f t="shared" si="11"/>
        <v>5</v>
      </c>
      <c r="P38" s="74">
        <f t="shared" si="11"/>
        <v>5</v>
      </c>
      <c r="Q38" s="74">
        <f t="shared" si="11"/>
        <v>5</v>
      </c>
      <c r="R38" s="74">
        <f t="shared" si="11"/>
        <v>5</v>
      </c>
      <c r="S38" s="74">
        <f t="shared" si="11"/>
        <v>5</v>
      </c>
      <c r="T38" s="74">
        <f t="shared" si="11"/>
        <v>-10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si="11"/>
        <v>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-10</v>
      </c>
      <c r="K39" s="74">
        <f t="shared" si="11"/>
        <v>0</v>
      </c>
      <c r="L39" s="74">
        <f t="shared" si="11"/>
        <v>-20</v>
      </c>
      <c r="M39" s="74">
        <f t="shared" si="11"/>
        <v>-5</v>
      </c>
      <c r="N39" s="74">
        <f t="shared" si="11"/>
        <v>-5</v>
      </c>
      <c r="O39" s="74">
        <f t="shared" si="11"/>
        <v>15</v>
      </c>
      <c r="P39" s="74">
        <f t="shared" si="11"/>
        <v>15</v>
      </c>
      <c r="Q39" s="74">
        <f t="shared" si="11"/>
        <v>-5</v>
      </c>
      <c r="R39" s="74">
        <f t="shared" si="11"/>
        <v>-5</v>
      </c>
      <c r="S39" s="74">
        <f t="shared" si="11"/>
        <v>-5</v>
      </c>
      <c r="T39" s="74">
        <f t="shared" si="11"/>
        <v>-30</v>
      </c>
      <c r="U39" s="74">
        <f t="shared" si="11"/>
        <v>0</v>
      </c>
      <c r="V39" s="74">
        <f t="shared" si="11"/>
        <v>0</v>
      </c>
      <c r="W39" s="74">
        <f t="shared" si="11"/>
        <v>0</v>
      </c>
      <c r="X39" s="74">
        <f t="shared" si="11"/>
        <v>0</v>
      </c>
      <c r="Y39" s="74">
        <f t="shared" si="11"/>
        <v>0</v>
      </c>
      <c r="Z39" s="74">
        <f t="shared" si="11"/>
        <v>0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-17</v>
      </c>
      <c r="K40" s="74">
        <f t="shared" ref="K40:Z40" si="12">K13-5</f>
        <v>-23</v>
      </c>
      <c r="L40" s="74">
        <f t="shared" si="12"/>
        <v>5</v>
      </c>
      <c r="M40" s="74">
        <f t="shared" si="12"/>
        <v>25</v>
      </c>
      <c r="N40" s="74">
        <f t="shared" si="12"/>
        <v>25</v>
      </c>
      <c r="O40" s="74">
        <f t="shared" si="12"/>
        <v>5</v>
      </c>
      <c r="P40" s="74">
        <f t="shared" si="12"/>
        <v>5</v>
      </c>
      <c r="Q40" s="74">
        <f t="shared" si="12"/>
        <v>25</v>
      </c>
      <c r="R40" s="74">
        <f t="shared" si="12"/>
        <v>25</v>
      </c>
      <c r="S40" s="74">
        <f t="shared" si="12"/>
        <v>25</v>
      </c>
      <c r="T40" s="74">
        <f t="shared" si="12"/>
        <v>-30</v>
      </c>
      <c r="U40" s="74">
        <f t="shared" si="12"/>
        <v>-35</v>
      </c>
      <c r="V40" s="74">
        <f t="shared" si="12"/>
        <v>-5</v>
      </c>
      <c r="W40" s="74">
        <f t="shared" si="12"/>
        <v>-5</v>
      </c>
      <c r="X40" s="74">
        <f t="shared" si="12"/>
        <v>-5</v>
      </c>
      <c r="Y40" s="74">
        <f t="shared" si="12"/>
        <v>-5</v>
      </c>
      <c r="Z40" s="74">
        <f t="shared" si="12"/>
        <v>-5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-3</v>
      </c>
      <c r="K41" s="74">
        <f t="shared" ref="K41:Z41" si="13">K14+5</f>
        <v>-15</v>
      </c>
      <c r="L41" s="74">
        <f t="shared" si="13"/>
        <v>-35</v>
      </c>
      <c r="M41" s="74">
        <f t="shared" si="13"/>
        <v>-40</v>
      </c>
      <c r="N41" s="74">
        <f t="shared" si="13"/>
        <v>-40</v>
      </c>
      <c r="O41" s="74">
        <f t="shared" si="13"/>
        <v>-5</v>
      </c>
      <c r="P41" s="74">
        <f t="shared" si="13"/>
        <v>-5</v>
      </c>
      <c r="Q41" s="74">
        <f t="shared" si="13"/>
        <v>-40</v>
      </c>
      <c r="R41" s="74">
        <f t="shared" si="13"/>
        <v>-40</v>
      </c>
      <c r="S41" s="74">
        <f t="shared" si="13"/>
        <v>-40</v>
      </c>
      <c r="T41" s="74">
        <f t="shared" si="13"/>
        <v>-20</v>
      </c>
      <c r="U41" s="74">
        <f t="shared" si="13"/>
        <v>-25</v>
      </c>
      <c r="V41" s="74">
        <f t="shared" si="13"/>
        <v>5</v>
      </c>
      <c r="W41" s="74">
        <f t="shared" si="13"/>
        <v>5</v>
      </c>
      <c r="X41" s="74">
        <f t="shared" si="13"/>
        <v>5</v>
      </c>
      <c r="Y41" s="74">
        <f t="shared" si="13"/>
        <v>5</v>
      </c>
      <c r="Z41" s="74">
        <f t="shared" si="13"/>
        <v>5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10</v>
      </c>
      <c r="K42" s="74">
        <f t="shared" si="11"/>
        <v>-5</v>
      </c>
      <c r="L42" s="74">
        <f t="shared" si="11"/>
        <v>0</v>
      </c>
      <c r="M42" s="74">
        <f t="shared" si="11"/>
        <v>0</v>
      </c>
      <c r="N42" s="74">
        <f t="shared" si="11"/>
        <v>0</v>
      </c>
      <c r="O42" s="74">
        <f t="shared" si="11"/>
        <v>0</v>
      </c>
      <c r="P42" s="74">
        <f t="shared" si="11"/>
        <v>0</v>
      </c>
      <c r="Q42" s="74">
        <f t="shared" si="11"/>
        <v>0</v>
      </c>
      <c r="R42" s="74">
        <f t="shared" si="11"/>
        <v>0</v>
      </c>
      <c r="S42" s="74">
        <f t="shared" si="11"/>
        <v>0</v>
      </c>
      <c r="T42" s="74">
        <f t="shared" si="11"/>
        <v>30</v>
      </c>
      <c r="U42" s="74">
        <f t="shared" si="11"/>
        <v>0</v>
      </c>
      <c r="V42" s="74">
        <f t="shared" si="11"/>
        <v>0</v>
      </c>
      <c r="W42" s="74">
        <f t="shared" si="11"/>
        <v>0</v>
      </c>
      <c r="X42" s="74">
        <f t="shared" si="11"/>
        <v>0</v>
      </c>
      <c r="Y42" s="74">
        <f t="shared" si="11"/>
        <v>0</v>
      </c>
      <c r="Z42" s="74">
        <f t="shared" si="11"/>
        <v>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9"/>
  <dimension ref="A1:AB57"/>
  <sheetViews>
    <sheetView topLeftCell="G1" workbookViewId="0">
      <selection activeCell="F3" sqref="F3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 t="s">
        <v>76</v>
      </c>
      <c r="N1" s="23"/>
      <c r="O1" s="23"/>
      <c r="P1" s="23" t="s">
        <v>76</v>
      </c>
      <c r="Q1" s="23" t="s">
        <v>76</v>
      </c>
      <c r="R1" s="23"/>
      <c r="S1" s="23" t="s">
        <v>76</v>
      </c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5</v>
      </c>
      <c r="B2" s="70" t="s">
        <v>74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122</v>
      </c>
      <c r="L4" s="68">
        <f t="shared" si="0"/>
        <v>132</v>
      </c>
      <c r="M4" s="68">
        <f t="shared" si="0"/>
        <v>142</v>
      </c>
      <c r="N4" s="68">
        <f t="shared" si="0"/>
        <v>147</v>
      </c>
      <c r="O4" s="68">
        <f t="shared" si="0"/>
        <v>187</v>
      </c>
      <c r="P4" s="68">
        <f t="shared" si="0"/>
        <v>207</v>
      </c>
      <c r="Q4" s="68">
        <f t="shared" si="0"/>
        <v>212</v>
      </c>
      <c r="R4" s="68">
        <f t="shared" si="0"/>
        <v>232</v>
      </c>
      <c r="S4" s="68">
        <f t="shared" si="0"/>
        <v>262</v>
      </c>
      <c r="T4" s="68">
        <f t="shared" si="0"/>
        <v>267</v>
      </c>
      <c r="U4" s="68">
        <f t="shared" si="0"/>
        <v>307</v>
      </c>
      <c r="V4" s="68">
        <f t="shared" si="0"/>
        <v>337</v>
      </c>
      <c r="W4" s="68">
        <f t="shared" si="0"/>
        <v>357</v>
      </c>
      <c r="X4" s="68">
        <f t="shared" si="0"/>
        <v>457</v>
      </c>
      <c r="Y4" s="68">
        <f t="shared" si="0"/>
        <v>557</v>
      </c>
      <c r="Z4" s="68">
        <f t="shared" si="0"/>
        <v>657</v>
      </c>
      <c r="AA4" s="68">
        <f t="shared" si="0"/>
        <v>757</v>
      </c>
      <c r="AB4" s="68">
        <f t="shared" si="0"/>
        <v>857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20</v>
      </c>
      <c r="K5" s="69">
        <v>10</v>
      </c>
      <c r="L5" s="69">
        <v>10</v>
      </c>
      <c r="M5" s="69">
        <v>5</v>
      </c>
      <c r="N5" s="69">
        <v>40</v>
      </c>
      <c r="O5" s="69">
        <v>20</v>
      </c>
      <c r="P5" s="69">
        <v>5</v>
      </c>
      <c r="Q5" s="69">
        <v>20</v>
      </c>
      <c r="R5" s="69">
        <v>30</v>
      </c>
      <c r="S5" s="69">
        <v>5</v>
      </c>
      <c r="T5" s="69">
        <v>20</v>
      </c>
      <c r="U5" s="69">
        <v>10</v>
      </c>
      <c r="V5" s="69">
        <v>20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20</v>
      </c>
      <c r="U6" s="69">
        <v>20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2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10</v>
      </c>
      <c r="K8" s="44">
        <v>15</v>
      </c>
      <c r="L8" s="44">
        <v>25</v>
      </c>
      <c r="M8" s="44">
        <v>0</v>
      </c>
      <c r="N8" s="44">
        <v>0</v>
      </c>
      <c r="O8" s="44">
        <v>-20</v>
      </c>
      <c r="P8" s="44">
        <v>-20</v>
      </c>
      <c r="Q8" s="44">
        <v>0</v>
      </c>
      <c r="R8" s="44">
        <v>0</v>
      </c>
      <c r="S8" s="44">
        <v>0</v>
      </c>
      <c r="T8" s="44">
        <v>-5</v>
      </c>
      <c r="U8" s="44">
        <v>-10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-17</v>
      </c>
      <c r="K9" s="44">
        <v>-18</v>
      </c>
      <c r="L9" s="44">
        <v>-25</v>
      </c>
      <c r="M9" s="44">
        <v>-45</v>
      </c>
      <c r="N9" s="44">
        <v>-45</v>
      </c>
      <c r="O9" s="44">
        <v>0</v>
      </c>
      <c r="P9" s="44">
        <v>0</v>
      </c>
      <c r="Q9" s="44">
        <v>-45</v>
      </c>
      <c r="R9" s="44">
        <v>-45</v>
      </c>
      <c r="S9" s="44">
        <v>-45</v>
      </c>
      <c r="T9" s="44">
        <v>-35</v>
      </c>
      <c r="U9" s="44">
        <v>-25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-13</v>
      </c>
      <c r="K10" s="44">
        <v>-20</v>
      </c>
      <c r="L10" s="44">
        <v>0</v>
      </c>
      <c r="M10" s="44">
        <v>30</v>
      </c>
      <c r="N10" s="44">
        <v>30</v>
      </c>
      <c r="O10" s="44">
        <v>30</v>
      </c>
      <c r="P10" s="44">
        <v>30</v>
      </c>
      <c r="Q10" s="44">
        <v>30</v>
      </c>
      <c r="R10" s="44">
        <v>30</v>
      </c>
      <c r="S10" s="44">
        <v>30</v>
      </c>
      <c r="T10" s="44">
        <v>-35</v>
      </c>
      <c r="U10" s="44">
        <v>-25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-10</v>
      </c>
      <c r="K11" s="44">
        <v>-15</v>
      </c>
      <c r="L11" s="44">
        <v>-15</v>
      </c>
      <c r="M11" s="44">
        <v>5</v>
      </c>
      <c r="N11" s="44">
        <v>5</v>
      </c>
      <c r="O11" s="44">
        <v>5</v>
      </c>
      <c r="P11" s="44">
        <v>5</v>
      </c>
      <c r="Q11" s="44">
        <v>5</v>
      </c>
      <c r="R11" s="44">
        <v>5</v>
      </c>
      <c r="S11" s="44">
        <v>5</v>
      </c>
      <c r="T11" s="44">
        <v>-10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-10</v>
      </c>
      <c r="K12" s="50">
        <v>0</v>
      </c>
      <c r="L12" s="50">
        <v>-20</v>
      </c>
      <c r="M12" s="50">
        <v>-5</v>
      </c>
      <c r="N12" s="50">
        <v>-5</v>
      </c>
      <c r="O12" s="50">
        <v>15</v>
      </c>
      <c r="P12" s="50">
        <v>15</v>
      </c>
      <c r="Q12" s="50">
        <v>-5</v>
      </c>
      <c r="R12" s="50">
        <v>-5</v>
      </c>
      <c r="S12" s="50">
        <v>-5</v>
      </c>
      <c r="T12" s="50">
        <v>-30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-12</v>
      </c>
      <c r="K13" s="50">
        <v>-18</v>
      </c>
      <c r="L13" s="50">
        <v>10</v>
      </c>
      <c r="M13" s="50">
        <v>30</v>
      </c>
      <c r="N13" s="50">
        <v>30</v>
      </c>
      <c r="O13" s="50">
        <v>10</v>
      </c>
      <c r="P13" s="50">
        <v>10</v>
      </c>
      <c r="Q13" s="50">
        <v>30</v>
      </c>
      <c r="R13" s="50">
        <v>30</v>
      </c>
      <c r="S13" s="50">
        <v>30</v>
      </c>
      <c r="T13" s="50">
        <v>-25</v>
      </c>
      <c r="U13" s="50">
        <v>-30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-8</v>
      </c>
      <c r="K14" s="50">
        <v>-20</v>
      </c>
      <c r="L14" s="50">
        <v>-40</v>
      </c>
      <c r="M14" s="50">
        <v>-45</v>
      </c>
      <c r="N14" s="50">
        <v>-45</v>
      </c>
      <c r="O14" s="50">
        <v>-10</v>
      </c>
      <c r="P14" s="50">
        <v>-10</v>
      </c>
      <c r="Q14" s="50">
        <v>-45</v>
      </c>
      <c r="R14" s="50">
        <v>-45</v>
      </c>
      <c r="S14" s="50">
        <v>-45</v>
      </c>
      <c r="T14" s="50">
        <v>-25</v>
      </c>
      <c r="U14" s="50">
        <v>-30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10</v>
      </c>
      <c r="K15" s="50">
        <v>-5</v>
      </c>
      <c r="L15" s="50">
        <v>0</v>
      </c>
      <c r="M15" s="50">
        <v>0</v>
      </c>
      <c r="N15" s="50">
        <v>0</v>
      </c>
      <c r="O15" s="50">
        <v>0</v>
      </c>
      <c r="P15" s="50">
        <v>0</v>
      </c>
      <c r="Q15" s="50">
        <v>0</v>
      </c>
      <c r="R15" s="50">
        <v>0</v>
      </c>
      <c r="S15" s="50">
        <v>0</v>
      </c>
      <c r="T15" s="50">
        <v>30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-30</v>
      </c>
      <c r="K16" s="57">
        <v>-45</v>
      </c>
      <c r="L16" s="57">
        <v>-50</v>
      </c>
      <c r="M16" s="57">
        <v>-100</v>
      </c>
      <c r="N16" s="57">
        <v>-100</v>
      </c>
      <c r="O16" s="57">
        <v>-100</v>
      </c>
      <c r="P16" s="57">
        <v>-100</v>
      </c>
      <c r="Q16" s="57">
        <v>-100</v>
      </c>
      <c r="R16" s="57">
        <v>-50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-150</v>
      </c>
      <c r="K17" s="44">
        <v>-40</v>
      </c>
      <c r="L17" s="44">
        <v>-30</v>
      </c>
      <c r="M17" s="44">
        <v>-60</v>
      </c>
      <c r="N17" s="44">
        <v>-120</v>
      </c>
      <c r="O17" s="44">
        <v>-120</v>
      </c>
      <c r="P17" s="44">
        <v>-150</v>
      </c>
      <c r="Q17" s="44">
        <v>-40</v>
      </c>
      <c r="R17" s="44">
        <v>0</v>
      </c>
      <c r="S17" s="44">
        <v>100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45</v>
      </c>
      <c r="K18" s="44">
        <v>20</v>
      </c>
      <c r="L18" s="44">
        <v>0</v>
      </c>
      <c r="M18" s="44">
        <v>80</v>
      </c>
      <c r="N18" s="44">
        <v>80</v>
      </c>
      <c r="O18" s="44">
        <v>80</v>
      </c>
      <c r="P18" s="44">
        <v>80</v>
      </c>
      <c r="Q18" s="44">
        <v>80</v>
      </c>
      <c r="R18" s="44">
        <v>80</v>
      </c>
      <c r="S18" s="44">
        <v>80</v>
      </c>
      <c r="T18" s="44">
        <v>15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-90</v>
      </c>
      <c r="N19" s="44">
        <v>-120</v>
      </c>
      <c r="O19" s="44">
        <v>-120</v>
      </c>
      <c r="P19" s="44">
        <v>-120</v>
      </c>
      <c r="Q19" s="44">
        <v>-90</v>
      </c>
      <c r="R19" s="44">
        <v>-80</v>
      </c>
      <c r="S19" s="44">
        <v>-80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-180</v>
      </c>
      <c r="K20" s="44">
        <v>-180</v>
      </c>
      <c r="L20" s="44">
        <v>-150</v>
      </c>
      <c r="M20" s="44">
        <v>-90</v>
      </c>
      <c r="N20" s="44">
        <v>-120</v>
      </c>
      <c r="O20" s="44">
        <v>-120</v>
      </c>
      <c r="P20" s="44">
        <v>-120</v>
      </c>
      <c r="Q20" s="44">
        <v>-90</v>
      </c>
      <c r="R20" s="44">
        <v>-80</v>
      </c>
      <c r="S20" s="44">
        <v>-80</v>
      </c>
      <c r="T20" s="44">
        <v>-180</v>
      </c>
      <c r="U20" s="44">
        <v>-180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-30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-17</v>
      </c>
      <c r="K25" s="64">
        <f t="shared" si="3"/>
        <v>-18</v>
      </c>
      <c r="L25" s="64">
        <f t="shared" si="3"/>
        <v>-25</v>
      </c>
      <c r="M25" s="64">
        <f t="shared" si="3"/>
        <v>-45</v>
      </c>
      <c r="N25" s="64">
        <f t="shared" si="3"/>
        <v>-45</v>
      </c>
      <c r="O25" s="64">
        <f t="shared" si="3"/>
        <v>0</v>
      </c>
      <c r="P25" s="64">
        <f t="shared" si="3"/>
        <v>0</v>
      </c>
      <c r="Q25" s="64">
        <f t="shared" si="3"/>
        <v>-45</v>
      </c>
      <c r="R25" s="64">
        <f t="shared" si="3"/>
        <v>-45</v>
      </c>
      <c r="S25" s="64">
        <f t="shared" si="3"/>
        <v>-45</v>
      </c>
      <c r="T25" s="64">
        <f t="shared" si="3"/>
        <v>-35</v>
      </c>
      <c r="U25" s="64">
        <f t="shared" si="3"/>
        <v>-25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-13</v>
      </c>
      <c r="K26" s="64">
        <f t="shared" si="3"/>
        <v>-20</v>
      </c>
      <c r="L26" s="64">
        <f t="shared" si="3"/>
        <v>0</v>
      </c>
      <c r="M26" s="64">
        <f t="shared" si="3"/>
        <v>30</v>
      </c>
      <c r="N26" s="64">
        <f t="shared" si="3"/>
        <v>30</v>
      </c>
      <c r="O26" s="64">
        <f t="shared" si="3"/>
        <v>30</v>
      </c>
      <c r="P26" s="64">
        <f t="shared" si="3"/>
        <v>30</v>
      </c>
      <c r="Q26" s="64">
        <f t="shared" si="3"/>
        <v>30</v>
      </c>
      <c r="R26" s="64">
        <f t="shared" si="3"/>
        <v>30</v>
      </c>
      <c r="S26" s="64">
        <f t="shared" si="3"/>
        <v>30</v>
      </c>
      <c r="T26" s="64">
        <f t="shared" si="3"/>
        <v>-35</v>
      </c>
      <c r="U26" s="64">
        <f t="shared" si="3"/>
        <v>-25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-12</v>
      </c>
      <c r="K27" s="64">
        <f t="shared" si="5"/>
        <v>-18</v>
      </c>
      <c r="L27" s="64">
        <f t="shared" si="5"/>
        <v>10</v>
      </c>
      <c r="M27" s="64">
        <f t="shared" si="5"/>
        <v>30</v>
      </c>
      <c r="N27" s="64">
        <f t="shared" si="5"/>
        <v>30</v>
      </c>
      <c r="O27" s="64">
        <f t="shared" si="5"/>
        <v>10</v>
      </c>
      <c r="P27" s="64">
        <f t="shared" si="5"/>
        <v>10</v>
      </c>
      <c r="Q27" s="64">
        <f t="shared" si="5"/>
        <v>30</v>
      </c>
      <c r="R27" s="64">
        <f t="shared" si="5"/>
        <v>30</v>
      </c>
      <c r="S27" s="64">
        <f t="shared" si="5"/>
        <v>30</v>
      </c>
      <c r="T27" s="64">
        <f t="shared" si="5"/>
        <v>-25</v>
      </c>
      <c r="U27" s="64">
        <f t="shared" si="5"/>
        <v>-30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-8</v>
      </c>
      <c r="K28" s="64">
        <f t="shared" si="5"/>
        <v>-20</v>
      </c>
      <c r="L28" s="64">
        <f t="shared" si="5"/>
        <v>-40</v>
      </c>
      <c r="M28" s="64">
        <f t="shared" si="5"/>
        <v>-45</v>
      </c>
      <c r="N28" s="64">
        <f t="shared" si="5"/>
        <v>-45</v>
      </c>
      <c r="O28" s="64">
        <f t="shared" si="5"/>
        <v>-10</v>
      </c>
      <c r="P28" s="64">
        <f t="shared" si="5"/>
        <v>-10</v>
      </c>
      <c r="Q28" s="64">
        <f t="shared" si="5"/>
        <v>-45</v>
      </c>
      <c r="R28" s="64">
        <f t="shared" si="5"/>
        <v>-45</v>
      </c>
      <c r="S28" s="64">
        <f t="shared" si="5"/>
        <v>-45</v>
      </c>
      <c r="T28" s="64">
        <f t="shared" si="5"/>
        <v>-25</v>
      </c>
      <c r="U28" s="64">
        <f t="shared" si="5"/>
        <v>-30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45</v>
      </c>
      <c r="K29" s="64">
        <f t="shared" si="6"/>
        <v>20</v>
      </c>
      <c r="L29" s="64">
        <f t="shared" si="6"/>
        <v>0</v>
      </c>
      <c r="M29" s="64">
        <f t="shared" si="6"/>
        <v>80</v>
      </c>
      <c r="N29" s="64">
        <f t="shared" si="6"/>
        <v>80</v>
      </c>
      <c r="O29" s="64">
        <f t="shared" si="6"/>
        <v>80</v>
      </c>
      <c r="P29" s="64">
        <f t="shared" si="6"/>
        <v>80</v>
      </c>
      <c r="Q29" s="64">
        <f t="shared" si="6"/>
        <v>80</v>
      </c>
      <c r="R29" s="64">
        <f t="shared" si="6"/>
        <v>80</v>
      </c>
      <c r="S29" s="64">
        <f t="shared" si="6"/>
        <v>80</v>
      </c>
      <c r="T29" s="64">
        <f t="shared" si="6"/>
        <v>15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0</v>
      </c>
      <c r="K30" s="64">
        <f t="shared" si="7"/>
        <v>0</v>
      </c>
      <c r="L30" s="64">
        <f t="shared" si="7"/>
        <v>0</v>
      </c>
      <c r="M30" s="64">
        <f t="shared" si="7"/>
        <v>0</v>
      </c>
      <c r="N30" s="64">
        <f t="shared" si="7"/>
        <v>0</v>
      </c>
      <c r="O30" s="64">
        <f t="shared" si="7"/>
        <v>0</v>
      </c>
      <c r="P30" s="64">
        <f t="shared" si="7"/>
        <v>0</v>
      </c>
      <c r="Q30" s="64">
        <f t="shared" si="7"/>
        <v>0</v>
      </c>
      <c r="R30" s="64">
        <f t="shared" si="7"/>
        <v>0</v>
      </c>
      <c r="S30" s="64">
        <f t="shared" si="7"/>
        <v>0</v>
      </c>
      <c r="T30" s="64">
        <f t="shared" si="7"/>
        <v>-30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10</v>
      </c>
      <c r="K35" s="74">
        <f t="shared" ref="K35:Z35" si="8">K8</f>
        <v>15</v>
      </c>
      <c r="L35" s="74">
        <f t="shared" si="8"/>
        <v>25</v>
      </c>
      <c r="M35" s="74">
        <f t="shared" si="8"/>
        <v>0</v>
      </c>
      <c r="N35" s="74">
        <f t="shared" si="8"/>
        <v>0</v>
      </c>
      <c r="O35" s="74">
        <f t="shared" si="8"/>
        <v>-20</v>
      </c>
      <c r="P35" s="74">
        <f t="shared" si="8"/>
        <v>-20</v>
      </c>
      <c r="Q35" s="74">
        <f t="shared" si="8"/>
        <v>0</v>
      </c>
      <c r="R35" s="74">
        <f t="shared" si="8"/>
        <v>0</v>
      </c>
      <c r="S35" s="74">
        <f t="shared" si="8"/>
        <v>0</v>
      </c>
      <c r="T35" s="74">
        <f t="shared" si="8"/>
        <v>-5</v>
      </c>
      <c r="U35" s="74">
        <f t="shared" si="8"/>
        <v>-10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-22</v>
      </c>
      <c r="K36" s="74">
        <f t="shared" ref="K36:Z36" si="9">K9-5</f>
        <v>-23</v>
      </c>
      <c r="L36" s="74">
        <f t="shared" si="9"/>
        <v>-30</v>
      </c>
      <c r="M36" s="74">
        <f t="shared" si="9"/>
        <v>-50</v>
      </c>
      <c r="N36" s="74">
        <f t="shared" si="9"/>
        <v>-50</v>
      </c>
      <c r="O36" s="74">
        <f t="shared" si="9"/>
        <v>-5</v>
      </c>
      <c r="P36" s="74">
        <f t="shared" si="9"/>
        <v>-5</v>
      </c>
      <c r="Q36" s="74">
        <f t="shared" si="9"/>
        <v>-50</v>
      </c>
      <c r="R36" s="74">
        <f t="shared" si="9"/>
        <v>-50</v>
      </c>
      <c r="S36" s="74">
        <f t="shared" si="9"/>
        <v>-50</v>
      </c>
      <c r="T36" s="74">
        <f t="shared" si="9"/>
        <v>-40</v>
      </c>
      <c r="U36" s="74">
        <f t="shared" si="9"/>
        <v>-30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-8</v>
      </c>
      <c r="K37" s="74">
        <f t="shared" ref="K37:Z37" si="10">K10+5</f>
        <v>-15</v>
      </c>
      <c r="L37" s="74">
        <f t="shared" si="10"/>
        <v>5</v>
      </c>
      <c r="M37" s="74">
        <f t="shared" si="10"/>
        <v>35</v>
      </c>
      <c r="N37" s="74">
        <f t="shared" si="10"/>
        <v>35</v>
      </c>
      <c r="O37" s="74">
        <f t="shared" si="10"/>
        <v>35</v>
      </c>
      <c r="P37" s="74">
        <f t="shared" si="10"/>
        <v>35</v>
      </c>
      <c r="Q37" s="74">
        <f t="shared" si="10"/>
        <v>35</v>
      </c>
      <c r="R37" s="74">
        <f t="shared" si="10"/>
        <v>35</v>
      </c>
      <c r="S37" s="74">
        <f t="shared" si="10"/>
        <v>35</v>
      </c>
      <c r="T37" s="74">
        <f t="shared" si="10"/>
        <v>-30</v>
      </c>
      <c r="U37" s="74">
        <f t="shared" si="10"/>
        <v>-20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Z42" si="11">J11</f>
        <v>-10</v>
      </c>
      <c r="K38" s="74">
        <f t="shared" si="11"/>
        <v>-15</v>
      </c>
      <c r="L38" s="74">
        <f t="shared" si="11"/>
        <v>-15</v>
      </c>
      <c r="M38" s="74">
        <f t="shared" si="11"/>
        <v>5</v>
      </c>
      <c r="N38" s="74">
        <f t="shared" si="11"/>
        <v>5</v>
      </c>
      <c r="O38" s="74">
        <f t="shared" si="11"/>
        <v>5</v>
      </c>
      <c r="P38" s="74">
        <f t="shared" si="11"/>
        <v>5</v>
      </c>
      <c r="Q38" s="74">
        <f t="shared" si="11"/>
        <v>5</v>
      </c>
      <c r="R38" s="74">
        <f t="shared" si="11"/>
        <v>5</v>
      </c>
      <c r="S38" s="74">
        <f t="shared" si="11"/>
        <v>5</v>
      </c>
      <c r="T38" s="74">
        <f t="shared" si="11"/>
        <v>-10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si="11"/>
        <v>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-10</v>
      </c>
      <c r="K39" s="74">
        <f t="shared" si="11"/>
        <v>0</v>
      </c>
      <c r="L39" s="74">
        <f t="shared" si="11"/>
        <v>-20</v>
      </c>
      <c r="M39" s="74">
        <f t="shared" si="11"/>
        <v>-5</v>
      </c>
      <c r="N39" s="74">
        <f t="shared" si="11"/>
        <v>-5</v>
      </c>
      <c r="O39" s="74">
        <f t="shared" si="11"/>
        <v>15</v>
      </c>
      <c r="P39" s="74">
        <f t="shared" si="11"/>
        <v>15</v>
      </c>
      <c r="Q39" s="74">
        <f t="shared" si="11"/>
        <v>-5</v>
      </c>
      <c r="R39" s="74">
        <f t="shared" si="11"/>
        <v>-5</v>
      </c>
      <c r="S39" s="74">
        <f t="shared" si="11"/>
        <v>-5</v>
      </c>
      <c r="T39" s="74">
        <f t="shared" si="11"/>
        <v>-30</v>
      </c>
      <c r="U39" s="74">
        <f t="shared" si="11"/>
        <v>0</v>
      </c>
      <c r="V39" s="74">
        <f t="shared" si="11"/>
        <v>0</v>
      </c>
      <c r="W39" s="74">
        <f t="shared" si="11"/>
        <v>0</v>
      </c>
      <c r="X39" s="74">
        <f t="shared" si="11"/>
        <v>0</v>
      </c>
      <c r="Y39" s="74">
        <f t="shared" si="11"/>
        <v>0</v>
      </c>
      <c r="Z39" s="74">
        <f t="shared" si="11"/>
        <v>0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-17</v>
      </c>
      <c r="K40" s="74">
        <f t="shared" ref="K40:Z40" si="12">K13-5</f>
        <v>-23</v>
      </c>
      <c r="L40" s="74">
        <f t="shared" si="12"/>
        <v>5</v>
      </c>
      <c r="M40" s="74">
        <f t="shared" si="12"/>
        <v>25</v>
      </c>
      <c r="N40" s="74">
        <f t="shared" si="12"/>
        <v>25</v>
      </c>
      <c r="O40" s="74">
        <f t="shared" si="12"/>
        <v>5</v>
      </c>
      <c r="P40" s="74">
        <f t="shared" si="12"/>
        <v>5</v>
      </c>
      <c r="Q40" s="74">
        <f t="shared" si="12"/>
        <v>25</v>
      </c>
      <c r="R40" s="74">
        <f t="shared" si="12"/>
        <v>25</v>
      </c>
      <c r="S40" s="74">
        <f t="shared" si="12"/>
        <v>25</v>
      </c>
      <c r="T40" s="74">
        <f t="shared" si="12"/>
        <v>-30</v>
      </c>
      <c r="U40" s="74">
        <f t="shared" si="12"/>
        <v>-35</v>
      </c>
      <c r="V40" s="74">
        <f t="shared" si="12"/>
        <v>-5</v>
      </c>
      <c r="W40" s="74">
        <f t="shared" si="12"/>
        <v>-5</v>
      </c>
      <c r="X40" s="74">
        <f t="shared" si="12"/>
        <v>-5</v>
      </c>
      <c r="Y40" s="74">
        <f t="shared" si="12"/>
        <v>-5</v>
      </c>
      <c r="Z40" s="74">
        <f t="shared" si="12"/>
        <v>-5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-3</v>
      </c>
      <c r="K41" s="74">
        <f t="shared" ref="K41:Z41" si="13">K14+5</f>
        <v>-15</v>
      </c>
      <c r="L41" s="74">
        <f t="shared" si="13"/>
        <v>-35</v>
      </c>
      <c r="M41" s="74">
        <f t="shared" si="13"/>
        <v>-40</v>
      </c>
      <c r="N41" s="74">
        <f t="shared" si="13"/>
        <v>-40</v>
      </c>
      <c r="O41" s="74">
        <f t="shared" si="13"/>
        <v>-5</v>
      </c>
      <c r="P41" s="74">
        <f t="shared" si="13"/>
        <v>-5</v>
      </c>
      <c r="Q41" s="74">
        <f t="shared" si="13"/>
        <v>-40</v>
      </c>
      <c r="R41" s="74">
        <f t="shared" si="13"/>
        <v>-40</v>
      </c>
      <c r="S41" s="74">
        <f t="shared" si="13"/>
        <v>-40</v>
      </c>
      <c r="T41" s="74">
        <f t="shared" si="13"/>
        <v>-20</v>
      </c>
      <c r="U41" s="74">
        <f t="shared" si="13"/>
        <v>-25</v>
      </c>
      <c r="V41" s="74">
        <f t="shared" si="13"/>
        <v>5</v>
      </c>
      <c r="W41" s="74">
        <f t="shared" si="13"/>
        <v>5</v>
      </c>
      <c r="X41" s="74">
        <f t="shared" si="13"/>
        <v>5</v>
      </c>
      <c r="Y41" s="74">
        <f t="shared" si="13"/>
        <v>5</v>
      </c>
      <c r="Z41" s="74">
        <f t="shared" si="13"/>
        <v>5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10</v>
      </c>
      <c r="K42" s="74">
        <f t="shared" si="11"/>
        <v>-5</v>
      </c>
      <c r="L42" s="74">
        <f t="shared" si="11"/>
        <v>0</v>
      </c>
      <c r="M42" s="74">
        <f t="shared" si="11"/>
        <v>0</v>
      </c>
      <c r="N42" s="74">
        <f t="shared" si="11"/>
        <v>0</v>
      </c>
      <c r="O42" s="74">
        <f t="shared" si="11"/>
        <v>0</v>
      </c>
      <c r="P42" s="74">
        <f t="shared" si="11"/>
        <v>0</v>
      </c>
      <c r="Q42" s="74">
        <f t="shared" si="11"/>
        <v>0</v>
      </c>
      <c r="R42" s="74">
        <f t="shared" si="11"/>
        <v>0</v>
      </c>
      <c r="S42" s="74">
        <f t="shared" si="11"/>
        <v>0</v>
      </c>
      <c r="T42" s="74">
        <f t="shared" si="11"/>
        <v>30</v>
      </c>
      <c r="U42" s="74">
        <f t="shared" si="11"/>
        <v>0</v>
      </c>
      <c r="V42" s="74">
        <f t="shared" si="11"/>
        <v>0</v>
      </c>
      <c r="W42" s="74">
        <f t="shared" si="11"/>
        <v>0</v>
      </c>
      <c r="X42" s="74">
        <f t="shared" si="11"/>
        <v>0</v>
      </c>
      <c r="Y42" s="74">
        <f t="shared" si="11"/>
        <v>0</v>
      </c>
      <c r="Z42" s="74">
        <f t="shared" si="11"/>
        <v>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  <c r="J44" s="74">
        <f>J20</f>
        <v>-180</v>
      </c>
      <c r="K44" s="74">
        <f t="shared" ref="K44:AB44" si="14">K20</f>
        <v>-180</v>
      </c>
      <c r="L44" s="74">
        <f t="shared" si="14"/>
        <v>-150</v>
      </c>
      <c r="M44" s="74">
        <f t="shared" si="14"/>
        <v>-90</v>
      </c>
      <c r="N44" s="74">
        <f t="shared" si="14"/>
        <v>-120</v>
      </c>
      <c r="O44" s="74">
        <f t="shared" si="14"/>
        <v>-120</v>
      </c>
      <c r="P44" s="74">
        <f t="shared" si="14"/>
        <v>-120</v>
      </c>
      <c r="Q44" s="74">
        <f t="shared" si="14"/>
        <v>-90</v>
      </c>
      <c r="R44" s="74">
        <f t="shared" si="14"/>
        <v>-80</v>
      </c>
      <c r="S44" s="74">
        <f t="shared" si="14"/>
        <v>-80</v>
      </c>
      <c r="T44" s="74">
        <f t="shared" si="14"/>
        <v>-180</v>
      </c>
      <c r="U44" s="74">
        <f t="shared" si="14"/>
        <v>-180</v>
      </c>
      <c r="V44" s="74">
        <f t="shared" si="14"/>
        <v>0</v>
      </c>
      <c r="W44" s="74">
        <f t="shared" si="14"/>
        <v>0</v>
      </c>
      <c r="X44" s="74">
        <f t="shared" si="14"/>
        <v>0</v>
      </c>
      <c r="Y44" s="74">
        <f t="shared" si="14"/>
        <v>0</v>
      </c>
      <c r="Z44" s="74">
        <f t="shared" si="14"/>
        <v>0</v>
      </c>
      <c r="AA44" s="74">
        <f t="shared" si="14"/>
        <v>0</v>
      </c>
      <c r="AB44" s="74">
        <f t="shared" si="14"/>
        <v>0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  <c r="J45" s="74">
        <f>J19</f>
        <v>0</v>
      </c>
      <c r="K45" s="74">
        <f t="shared" ref="K45:AB45" si="15">K19</f>
        <v>0</v>
      </c>
      <c r="L45" s="74">
        <f t="shared" si="15"/>
        <v>0</v>
      </c>
      <c r="M45" s="74">
        <f t="shared" si="15"/>
        <v>-90</v>
      </c>
      <c r="N45" s="74">
        <f t="shared" si="15"/>
        <v>-120</v>
      </c>
      <c r="O45" s="74">
        <f t="shared" si="15"/>
        <v>-120</v>
      </c>
      <c r="P45" s="74">
        <f t="shared" si="15"/>
        <v>-120</v>
      </c>
      <c r="Q45" s="74">
        <f t="shared" si="15"/>
        <v>-90</v>
      </c>
      <c r="R45" s="74">
        <f t="shared" si="15"/>
        <v>-80</v>
      </c>
      <c r="S45" s="74">
        <f t="shared" si="15"/>
        <v>-80</v>
      </c>
      <c r="T45" s="74">
        <f t="shared" si="15"/>
        <v>0</v>
      </c>
      <c r="U45" s="74">
        <f t="shared" si="15"/>
        <v>0</v>
      </c>
      <c r="V45" s="74">
        <f t="shared" si="15"/>
        <v>0</v>
      </c>
      <c r="W45" s="74">
        <f t="shared" si="15"/>
        <v>0</v>
      </c>
      <c r="X45" s="74">
        <f t="shared" si="15"/>
        <v>0</v>
      </c>
      <c r="Y45" s="74">
        <f t="shared" si="15"/>
        <v>0</v>
      </c>
      <c r="Z45" s="74">
        <f t="shared" si="15"/>
        <v>0</v>
      </c>
      <c r="AA45" s="74">
        <f t="shared" si="15"/>
        <v>0</v>
      </c>
      <c r="AB45" s="74">
        <f t="shared" si="15"/>
        <v>0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4"/>
  <dimension ref="A1:AB57"/>
  <sheetViews>
    <sheetView topLeftCell="G1" workbookViewId="0">
      <selection activeCell="R6" sqref="R6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 t="s">
        <v>76</v>
      </c>
      <c r="N1" s="23"/>
      <c r="O1" s="23"/>
      <c r="P1" s="23" t="s">
        <v>76</v>
      </c>
      <c r="Q1" s="23" t="s">
        <v>76</v>
      </c>
      <c r="R1" s="23"/>
      <c r="S1" s="23" t="s">
        <v>76</v>
      </c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5</v>
      </c>
      <c r="B2" s="70" t="s">
        <v>38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122</v>
      </c>
      <c r="L4" s="68">
        <f t="shared" si="0"/>
        <v>132</v>
      </c>
      <c r="M4" s="68">
        <f t="shared" si="0"/>
        <v>142</v>
      </c>
      <c r="N4" s="68">
        <f t="shared" si="0"/>
        <v>147</v>
      </c>
      <c r="O4" s="68">
        <f t="shared" si="0"/>
        <v>187</v>
      </c>
      <c r="P4" s="68">
        <f t="shared" si="0"/>
        <v>207</v>
      </c>
      <c r="Q4" s="68">
        <f t="shared" si="0"/>
        <v>212</v>
      </c>
      <c r="R4" s="68">
        <f t="shared" si="0"/>
        <v>232</v>
      </c>
      <c r="S4" s="68">
        <f t="shared" si="0"/>
        <v>262</v>
      </c>
      <c r="T4" s="68">
        <f t="shared" si="0"/>
        <v>267</v>
      </c>
      <c r="U4" s="68">
        <f t="shared" si="0"/>
        <v>307</v>
      </c>
      <c r="V4" s="68">
        <f t="shared" si="0"/>
        <v>337</v>
      </c>
      <c r="W4" s="68">
        <f t="shared" si="0"/>
        <v>357</v>
      </c>
      <c r="X4" s="68">
        <f t="shared" si="0"/>
        <v>457</v>
      </c>
      <c r="Y4" s="68">
        <f t="shared" si="0"/>
        <v>557</v>
      </c>
      <c r="Z4" s="68">
        <f t="shared" si="0"/>
        <v>657</v>
      </c>
      <c r="AA4" s="68">
        <f t="shared" si="0"/>
        <v>757</v>
      </c>
      <c r="AB4" s="68">
        <f t="shared" si="0"/>
        <v>857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20</v>
      </c>
      <c r="K5" s="69">
        <v>10</v>
      </c>
      <c r="L5" s="69">
        <v>10</v>
      </c>
      <c r="M5" s="69">
        <v>5</v>
      </c>
      <c r="N5" s="69">
        <v>40</v>
      </c>
      <c r="O5" s="69">
        <v>20</v>
      </c>
      <c r="P5" s="69">
        <v>5</v>
      </c>
      <c r="Q5" s="69">
        <v>20</v>
      </c>
      <c r="R5" s="69">
        <v>30</v>
      </c>
      <c r="S5" s="69">
        <v>5</v>
      </c>
      <c r="T5" s="69">
        <v>20</v>
      </c>
      <c r="U5" s="69">
        <v>10</v>
      </c>
      <c r="V5" s="69">
        <v>20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20</v>
      </c>
      <c r="U6" s="69">
        <v>20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2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10</v>
      </c>
      <c r="K8" s="44">
        <v>15</v>
      </c>
      <c r="L8" s="44">
        <v>25</v>
      </c>
      <c r="M8" s="44">
        <v>0</v>
      </c>
      <c r="N8" s="44">
        <v>0</v>
      </c>
      <c r="O8" s="44">
        <v>-20</v>
      </c>
      <c r="P8" s="44">
        <v>-20</v>
      </c>
      <c r="Q8" s="44">
        <v>0</v>
      </c>
      <c r="R8" s="44">
        <v>0</v>
      </c>
      <c r="S8" s="44">
        <v>0</v>
      </c>
      <c r="T8" s="44">
        <v>-5</v>
      </c>
      <c r="U8" s="44">
        <v>-10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-17</v>
      </c>
      <c r="K9" s="44">
        <v>-18</v>
      </c>
      <c r="L9" s="44">
        <v>-25</v>
      </c>
      <c r="M9" s="44">
        <v>-45</v>
      </c>
      <c r="N9" s="44">
        <v>-45</v>
      </c>
      <c r="O9" s="44">
        <v>0</v>
      </c>
      <c r="P9" s="44">
        <v>0</v>
      </c>
      <c r="Q9" s="44">
        <v>-45</v>
      </c>
      <c r="R9" s="44">
        <v>-45</v>
      </c>
      <c r="S9" s="44">
        <v>-45</v>
      </c>
      <c r="T9" s="44">
        <v>-35</v>
      </c>
      <c r="U9" s="44">
        <v>-25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-13</v>
      </c>
      <c r="K10" s="44">
        <v>-20</v>
      </c>
      <c r="L10" s="44">
        <v>0</v>
      </c>
      <c r="M10" s="44">
        <v>30</v>
      </c>
      <c r="N10" s="44">
        <v>30</v>
      </c>
      <c r="O10" s="44">
        <v>30</v>
      </c>
      <c r="P10" s="44">
        <v>30</v>
      </c>
      <c r="Q10" s="44">
        <v>30</v>
      </c>
      <c r="R10" s="44">
        <v>30</v>
      </c>
      <c r="S10" s="44">
        <v>30</v>
      </c>
      <c r="T10" s="44">
        <v>-35</v>
      </c>
      <c r="U10" s="44">
        <v>-25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-10</v>
      </c>
      <c r="K11" s="44">
        <v>-15</v>
      </c>
      <c r="L11" s="44">
        <v>-15</v>
      </c>
      <c r="M11" s="44">
        <v>5</v>
      </c>
      <c r="N11" s="44">
        <v>5</v>
      </c>
      <c r="O11" s="44">
        <v>5</v>
      </c>
      <c r="P11" s="44">
        <v>5</v>
      </c>
      <c r="Q11" s="44">
        <v>5</v>
      </c>
      <c r="R11" s="44">
        <v>5</v>
      </c>
      <c r="S11" s="44">
        <v>5</v>
      </c>
      <c r="T11" s="44">
        <v>-10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-10</v>
      </c>
      <c r="K12" s="50">
        <v>0</v>
      </c>
      <c r="L12" s="50">
        <v>-20</v>
      </c>
      <c r="M12" s="50">
        <v>-5</v>
      </c>
      <c r="N12" s="50">
        <v>-5</v>
      </c>
      <c r="O12" s="50">
        <v>15</v>
      </c>
      <c r="P12" s="50">
        <v>15</v>
      </c>
      <c r="Q12" s="50">
        <v>-5</v>
      </c>
      <c r="R12" s="50">
        <v>-5</v>
      </c>
      <c r="S12" s="50">
        <v>-5</v>
      </c>
      <c r="T12" s="50">
        <v>-30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-12</v>
      </c>
      <c r="K13" s="50">
        <v>-18</v>
      </c>
      <c r="L13" s="50">
        <v>10</v>
      </c>
      <c r="M13" s="50">
        <v>30</v>
      </c>
      <c r="N13" s="50">
        <v>30</v>
      </c>
      <c r="O13" s="50">
        <v>10</v>
      </c>
      <c r="P13" s="50">
        <v>10</v>
      </c>
      <c r="Q13" s="50">
        <v>30</v>
      </c>
      <c r="R13" s="50">
        <v>30</v>
      </c>
      <c r="S13" s="50">
        <v>30</v>
      </c>
      <c r="T13" s="50">
        <v>-25</v>
      </c>
      <c r="U13" s="50">
        <v>-30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-8</v>
      </c>
      <c r="K14" s="50">
        <v>-20</v>
      </c>
      <c r="L14" s="50">
        <v>-40</v>
      </c>
      <c r="M14" s="50">
        <v>-45</v>
      </c>
      <c r="N14" s="50">
        <v>-45</v>
      </c>
      <c r="O14" s="50">
        <v>-10</v>
      </c>
      <c r="P14" s="50">
        <v>-10</v>
      </c>
      <c r="Q14" s="50">
        <v>-45</v>
      </c>
      <c r="R14" s="50">
        <v>-45</v>
      </c>
      <c r="S14" s="50">
        <v>-45</v>
      </c>
      <c r="T14" s="50">
        <v>-25</v>
      </c>
      <c r="U14" s="50">
        <v>-30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10</v>
      </c>
      <c r="K15" s="50">
        <v>-5</v>
      </c>
      <c r="L15" s="50">
        <v>0</v>
      </c>
      <c r="M15" s="50">
        <v>0</v>
      </c>
      <c r="N15" s="50">
        <v>0</v>
      </c>
      <c r="O15" s="50">
        <v>0</v>
      </c>
      <c r="P15" s="50">
        <v>0</v>
      </c>
      <c r="Q15" s="50">
        <v>0</v>
      </c>
      <c r="R15" s="50">
        <v>0</v>
      </c>
      <c r="S15" s="50">
        <v>0</v>
      </c>
      <c r="T15" s="50">
        <v>30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30</v>
      </c>
      <c r="K16" s="57">
        <v>45</v>
      </c>
      <c r="L16" s="57">
        <v>50</v>
      </c>
      <c r="M16" s="57">
        <v>100</v>
      </c>
      <c r="N16" s="57">
        <v>100</v>
      </c>
      <c r="O16" s="57">
        <v>100</v>
      </c>
      <c r="P16" s="57">
        <v>100</v>
      </c>
      <c r="Q16" s="57">
        <v>100</v>
      </c>
      <c r="R16" s="57">
        <v>50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-150</v>
      </c>
      <c r="K17" s="44">
        <v>-150</v>
      </c>
      <c r="L17" s="44">
        <v>-150</v>
      </c>
      <c r="M17" s="44">
        <v>-60</v>
      </c>
      <c r="N17" s="44">
        <v>0</v>
      </c>
      <c r="O17" s="44">
        <v>0</v>
      </c>
      <c r="P17" s="44">
        <v>30</v>
      </c>
      <c r="Q17" s="44">
        <v>-40</v>
      </c>
      <c r="R17" s="44">
        <v>-80</v>
      </c>
      <c r="S17" s="44">
        <v>-150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45</v>
      </c>
      <c r="K18" s="44">
        <v>20</v>
      </c>
      <c r="L18" s="44">
        <v>-20</v>
      </c>
      <c r="M18" s="44">
        <v>90</v>
      </c>
      <c r="N18" s="44">
        <v>80</v>
      </c>
      <c r="O18" s="44">
        <v>80</v>
      </c>
      <c r="P18" s="44">
        <v>80</v>
      </c>
      <c r="Q18" s="44">
        <v>80</v>
      </c>
      <c r="R18" s="44">
        <v>80</v>
      </c>
      <c r="S18" s="44">
        <v>80</v>
      </c>
      <c r="T18" s="44">
        <v>15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-30</v>
      </c>
      <c r="M19" s="44">
        <v>-90</v>
      </c>
      <c r="N19" s="44">
        <v>-90</v>
      </c>
      <c r="O19" s="44">
        <v>-90</v>
      </c>
      <c r="P19" s="44">
        <v>-70</v>
      </c>
      <c r="Q19" s="44">
        <v>-90</v>
      </c>
      <c r="R19" s="44">
        <v>-80</v>
      </c>
      <c r="S19" s="44">
        <v>-80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-180</v>
      </c>
      <c r="K20" s="44">
        <v>-180</v>
      </c>
      <c r="L20" s="44">
        <v>-180</v>
      </c>
      <c r="M20" s="44">
        <v>-90</v>
      </c>
      <c r="N20" s="44">
        <v>-90</v>
      </c>
      <c r="O20" s="44">
        <v>-90</v>
      </c>
      <c r="P20" s="44">
        <v>-70</v>
      </c>
      <c r="Q20" s="44">
        <v>-90</v>
      </c>
      <c r="R20" s="44">
        <v>-80</v>
      </c>
      <c r="S20" s="44">
        <v>-80</v>
      </c>
      <c r="T20" s="44">
        <v>-180</v>
      </c>
      <c r="U20" s="44">
        <v>-180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-30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-17</v>
      </c>
      <c r="K25" s="64">
        <f t="shared" si="3"/>
        <v>-18</v>
      </c>
      <c r="L25" s="64">
        <f t="shared" si="3"/>
        <v>-25</v>
      </c>
      <c r="M25" s="64">
        <f t="shared" si="3"/>
        <v>-45</v>
      </c>
      <c r="N25" s="64">
        <f t="shared" si="3"/>
        <v>-45</v>
      </c>
      <c r="O25" s="64">
        <f t="shared" si="3"/>
        <v>0</v>
      </c>
      <c r="P25" s="64">
        <f t="shared" si="3"/>
        <v>0</v>
      </c>
      <c r="Q25" s="64">
        <f t="shared" si="3"/>
        <v>-45</v>
      </c>
      <c r="R25" s="64">
        <f t="shared" si="3"/>
        <v>-45</v>
      </c>
      <c r="S25" s="64">
        <f t="shared" si="3"/>
        <v>-45</v>
      </c>
      <c r="T25" s="64">
        <f t="shared" si="3"/>
        <v>-35</v>
      </c>
      <c r="U25" s="64">
        <f t="shared" si="3"/>
        <v>-25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-13</v>
      </c>
      <c r="K26" s="64">
        <f t="shared" si="3"/>
        <v>-20</v>
      </c>
      <c r="L26" s="64">
        <f t="shared" si="3"/>
        <v>0</v>
      </c>
      <c r="M26" s="64">
        <f t="shared" si="3"/>
        <v>30</v>
      </c>
      <c r="N26" s="64">
        <f t="shared" si="3"/>
        <v>30</v>
      </c>
      <c r="O26" s="64">
        <f t="shared" si="3"/>
        <v>30</v>
      </c>
      <c r="P26" s="64">
        <f t="shared" si="3"/>
        <v>30</v>
      </c>
      <c r="Q26" s="64">
        <f t="shared" si="3"/>
        <v>30</v>
      </c>
      <c r="R26" s="64">
        <f t="shared" si="3"/>
        <v>30</v>
      </c>
      <c r="S26" s="64">
        <f t="shared" si="3"/>
        <v>30</v>
      </c>
      <c r="T26" s="64">
        <f t="shared" si="3"/>
        <v>-35</v>
      </c>
      <c r="U26" s="64">
        <f t="shared" si="3"/>
        <v>-25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-12</v>
      </c>
      <c r="K27" s="64">
        <f t="shared" si="5"/>
        <v>-18</v>
      </c>
      <c r="L27" s="64">
        <f t="shared" si="5"/>
        <v>10</v>
      </c>
      <c r="M27" s="64">
        <f t="shared" si="5"/>
        <v>30</v>
      </c>
      <c r="N27" s="64">
        <f t="shared" si="5"/>
        <v>30</v>
      </c>
      <c r="O27" s="64">
        <f t="shared" si="5"/>
        <v>10</v>
      </c>
      <c r="P27" s="64">
        <f t="shared" si="5"/>
        <v>10</v>
      </c>
      <c r="Q27" s="64">
        <f t="shared" si="5"/>
        <v>30</v>
      </c>
      <c r="R27" s="64">
        <f t="shared" si="5"/>
        <v>30</v>
      </c>
      <c r="S27" s="64">
        <f t="shared" si="5"/>
        <v>30</v>
      </c>
      <c r="T27" s="64">
        <f t="shared" si="5"/>
        <v>-25</v>
      </c>
      <c r="U27" s="64">
        <f t="shared" si="5"/>
        <v>-30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-8</v>
      </c>
      <c r="K28" s="64">
        <f t="shared" si="5"/>
        <v>-20</v>
      </c>
      <c r="L28" s="64">
        <f t="shared" si="5"/>
        <v>-40</v>
      </c>
      <c r="M28" s="64">
        <f t="shared" si="5"/>
        <v>-45</v>
      </c>
      <c r="N28" s="64">
        <f t="shared" si="5"/>
        <v>-45</v>
      </c>
      <c r="O28" s="64">
        <f t="shared" si="5"/>
        <v>-10</v>
      </c>
      <c r="P28" s="64">
        <f t="shared" si="5"/>
        <v>-10</v>
      </c>
      <c r="Q28" s="64">
        <f t="shared" si="5"/>
        <v>-45</v>
      </c>
      <c r="R28" s="64">
        <f t="shared" si="5"/>
        <v>-45</v>
      </c>
      <c r="S28" s="64">
        <f t="shared" si="5"/>
        <v>-45</v>
      </c>
      <c r="T28" s="64">
        <f t="shared" si="5"/>
        <v>-25</v>
      </c>
      <c r="U28" s="64">
        <f t="shared" si="5"/>
        <v>-30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45</v>
      </c>
      <c r="K29" s="64">
        <f t="shared" si="6"/>
        <v>20</v>
      </c>
      <c r="L29" s="64">
        <f t="shared" si="6"/>
        <v>-20</v>
      </c>
      <c r="M29" s="64">
        <f t="shared" si="6"/>
        <v>90</v>
      </c>
      <c r="N29" s="64">
        <f t="shared" si="6"/>
        <v>80</v>
      </c>
      <c r="O29" s="64">
        <f t="shared" si="6"/>
        <v>80</v>
      </c>
      <c r="P29" s="64">
        <f t="shared" si="6"/>
        <v>80</v>
      </c>
      <c r="Q29" s="64">
        <f t="shared" si="6"/>
        <v>80</v>
      </c>
      <c r="R29" s="64">
        <f t="shared" si="6"/>
        <v>80</v>
      </c>
      <c r="S29" s="64">
        <f t="shared" si="6"/>
        <v>80</v>
      </c>
      <c r="T29" s="64">
        <f t="shared" si="6"/>
        <v>15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0</v>
      </c>
      <c r="K30" s="64">
        <f t="shared" si="7"/>
        <v>0</v>
      </c>
      <c r="L30" s="64">
        <f t="shared" si="7"/>
        <v>0</v>
      </c>
      <c r="M30" s="64">
        <f t="shared" si="7"/>
        <v>0</v>
      </c>
      <c r="N30" s="64">
        <f t="shared" si="7"/>
        <v>0</v>
      </c>
      <c r="O30" s="64">
        <f t="shared" si="7"/>
        <v>0</v>
      </c>
      <c r="P30" s="64">
        <f t="shared" si="7"/>
        <v>0</v>
      </c>
      <c r="Q30" s="64">
        <f t="shared" si="7"/>
        <v>0</v>
      </c>
      <c r="R30" s="64">
        <f t="shared" si="7"/>
        <v>0</v>
      </c>
      <c r="S30" s="64">
        <f t="shared" si="7"/>
        <v>0</v>
      </c>
      <c r="T30" s="64">
        <f t="shared" si="7"/>
        <v>-30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10</v>
      </c>
      <c r="K35" s="74">
        <f t="shared" ref="K35:Z35" si="8">K8</f>
        <v>15</v>
      </c>
      <c r="L35" s="74">
        <f t="shared" si="8"/>
        <v>25</v>
      </c>
      <c r="M35" s="74">
        <f t="shared" si="8"/>
        <v>0</v>
      </c>
      <c r="N35" s="74">
        <f t="shared" si="8"/>
        <v>0</v>
      </c>
      <c r="O35" s="74">
        <f t="shared" si="8"/>
        <v>-20</v>
      </c>
      <c r="P35" s="74">
        <f t="shared" si="8"/>
        <v>-20</v>
      </c>
      <c r="Q35" s="74">
        <f t="shared" si="8"/>
        <v>0</v>
      </c>
      <c r="R35" s="74">
        <f t="shared" si="8"/>
        <v>0</v>
      </c>
      <c r="S35" s="74">
        <f t="shared" si="8"/>
        <v>0</v>
      </c>
      <c r="T35" s="74">
        <f t="shared" si="8"/>
        <v>-5</v>
      </c>
      <c r="U35" s="74">
        <f t="shared" si="8"/>
        <v>-10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-22</v>
      </c>
      <c r="K36" s="74">
        <f t="shared" ref="K36:Z36" si="9">K9-5</f>
        <v>-23</v>
      </c>
      <c r="L36" s="74">
        <f t="shared" si="9"/>
        <v>-30</v>
      </c>
      <c r="M36" s="74">
        <f t="shared" si="9"/>
        <v>-50</v>
      </c>
      <c r="N36" s="74">
        <f t="shared" si="9"/>
        <v>-50</v>
      </c>
      <c r="O36" s="74">
        <f t="shared" si="9"/>
        <v>-5</v>
      </c>
      <c r="P36" s="74">
        <f t="shared" si="9"/>
        <v>-5</v>
      </c>
      <c r="Q36" s="74">
        <f t="shared" si="9"/>
        <v>-50</v>
      </c>
      <c r="R36" s="74">
        <f t="shared" si="9"/>
        <v>-50</v>
      </c>
      <c r="S36" s="74">
        <f t="shared" si="9"/>
        <v>-50</v>
      </c>
      <c r="T36" s="74">
        <f t="shared" si="9"/>
        <v>-40</v>
      </c>
      <c r="U36" s="74">
        <f t="shared" si="9"/>
        <v>-30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-8</v>
      </c>
      <c r="K37" s="74">
        <f t="shared" ref="K37:Z37" si="10">K10+5</f>
        <v>-15</v>
      </c>
      <c r="L37" s="74">
        <f t="shared" si="10"/>
        <v>5</v>
      </c>
      <c r="M37" s="74">
        <f t="shared" si="10"/>
        <v>35</v>
      </c>
      <c r="N37" s="74">
        <f t="shared" si="10"/>
        <v>35</v>
      </c>
      <c r="O37" s="74">
        <f t="shared" si="10"/>
        <v>35</v>
      </c>
      <c r="P37" s="74">
        <f t="shared" si="10"/>
        <v>35</v>
      </c>
      <c r="Q37" s="74">
        <f t="shared" si="10"/>
        <v>35</v>
      </c>
      <c r="R37" s="74">
        <f t="shared" si="10"/>
        <v>35</v>
      </c>
      <c r="S37" s="74">
        <f t="shared" si="10"/>
        <v>35</v>
      </c>
      <c r="T37" s="74">
        <f t="shared" si="10"/>
        <v>-30</v>
      </c>
      <c r="U37" s="74">
        <f t="shared" si="10"/>
        <v>-20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Z42" si="11">J11</f>
        <v>-10</v>
      </c>
      <c r="K38" s="74">
        <f t="shared" si="11"/>
        <v>-15</v>
      </c>
      <c r="L38" s="74">
        <f t="shared" si="11"/>
        <v>-15</v>
      </c>
      <c r="M38" s="74">
        <f t="shared" si="11"/>
        <v>5</v>
      </c>
      <c r="N38" s="74">
        <f t="shared" si="11"/>
        <v>5</v>
      </c>
      <c r="O38" s="74">
        <f t="shared" si="11"/>
        <v>5</v>
      </c>
      <c r="P38" s="74">
        <f t="shared" si="11"/>
        <v>5</v>
      </c>
      <c r="Q38" s="74">
        <f t="shared" si="11"/>
        <v>5</v>
      </c>
      <c r="R38" s="74">
        <f t="shared" si="11"/>
        <v>5</v>
      </c>
      <c r="S38" s="74">
        <f t="shared" si="11"/>
        <v>5</v>
      </c>
      <c r="T38" s="74">
        <f t="shared" si="11"/>
        <v>-10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si="11"/>
        <v>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-10</v>
      </c>
      <c r="K39" s="74">
        <f t="shared" si="11"/>
        <v>0</v>
      </c>
      <c r="L39" s="74">
        <f t="shared" si="11"/>
        <v>-20</v>
      </c>
      <c r="M39" s="74">
        <f t="shared" si="11"/>
        <v>-5</v>
      </c>
      <c r="N39" s="74">
        <f t="shared" si="11"/>
        <v>-5</v>
      </c>
      <c r="O39" s="74">
        <f t="shared" si="11"/>
        <v>15</v>
      </c>
      <c r="P39" s="74">
        <f t="shared" si="11"/>
        <v>15</v>
      </c>
      <c r="Q39" s="74">
        <f t="shared" si="11"/>
        <v>-5</v>
      </c>
      <c r="R39" s="74">
        <f t="shared" si="11"/>
        <v>-5</v>
      </c>
      <c r="S39" s="74">
        <f t="shared" si="11"/>
        <v>-5</v>
      </c>
      <c r="T39" s="74">
        <f t="shared" si="11"/>
        <v>-30</v>
      </c>
      <c r="U39" s="74">
        <f t="shared" si="11"/>
        <v>0</v>
      </c>
      <c r="V39" s="74">
        <f t="shared" si="11"/>
        <v>0</v>
      </c>
      <c r="W39" s="74">
        <f t="shared" si="11"/>
        <v>0</v>
      </c>
      <c r="X39" s="74">
        <f t="shared" si="11"/>
        <v>0</v>
      </c>
      <c r="Y39" s="74">
        <f t="shared" si="11"/>
        <v>0</v>
      </c>
      <c r="Z39" s="74">
        <f t="shared" si="11"/>
        <v>0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-17</v>
      </c>
      <c r="K40" s="74">
        <f t="shared" ref="K40:Z40" si="12">K13-5</f>
        <v>-23</v>
      </c>
      <c r="L40" s="74">
        <f t="shared" si="12"/>
        <v>5</v>
      </c>
      <c r="M40" s="74">
        <f t="shared" si="12"/>
        <v>25</v>
      </c>
      <c r="N40" s="74">
        <f t="shared" si="12"/>
        <v>25</v>
      </c>
      <c r="O40" s="74">
        <f t="shared" si="12"/>
        <v>5</v>
      </c>
      <c r="P40" s="74">
        <f t="shared" si="12"/>
        <v>5</v>
      </c>
      <c r="Q40" s="74">
        <f t="shared" si="12"/>
        <v>25</v>
      </c>
      <c r="R40" s="74">
        <f t="shared" si="12"/>
        <v>25</v>
      </c>
      <c r="S40" s="74">
        <f t="shared" si="12"/>
        <v>25</v>
      </c>
      <c r="T40" s="74">
        <f t="shared" si="12"/>
        <v>-30</v>
      </c>
      <c r="U40" s="74">
        <f t="shared" si="12"/>
        <v>-35</v>
      </c>
      <c r="V40" s="74">
        <f t="shared" si="12"/>
        <v>-5</v>
      </c>
      <c r="W40" s="74">
        <f t="shared" si="12"/>
        <v>-5</v>
      </c>
      <c r="X40" s="74">
        <f t="shared" si="12"/>
        <v>-5</v>
      </c>
      <c r="Y40" s="74">
        <f t="shared" si="12"/>
        <v>-5</v>
      </c>
      <c r="Z40" s="74">
        <f t="shared" si="12"/>
        <v>-5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-3</v>
      </c>
      <c r="K41" s="74">
        <f t="shared" ref="K41:Z41" si="13">K14+5</f>
        <v>-15</v>
      </c>
      <c r="L41" s="74">
        <f t="shared" si="13"/>
        <v>-35</v>
      </c>
      <c r="M41" s="74">
        <f t="shared" si="13"/>
        <v>-40</v>
      </c>
      <c r="N41" s="74">
        <f t="shared" si="13"/>
        <v>-40</v>
      </c>
      <c r="O41" s="74">
        <f t="shared" si="13"/>
        <v>-5</v>
      </c>
      <c r="P41" s="74">
        <f t="shared" si="13"/>
        <v>-5</v>
      </c>
      <c r="Q41" s="74">
        <f t="shared" si="13"/>
        <v>-40</v>
      </c>
      <c r="R41" s="74">
        <f t="shared" si="13"/>
        <v>-40</v>
      </c>
      <c r="S41" s="74">
        <f t="shared" si="13"/>
        <v>-40</v>
      </c>
      <c r="T41" s="74">
        <f t="shared" si="13"/>
        <v>-20</v>
      </c>
      <c r="U41" s="74">
        <f t="shared" si="13"/>
        <v>-25</v>
      </c>
      <c r="V41" s="74">
        <f t="shared" si="13"/>
        <v>5</v>
      </c>
      <c r="W41" s="74">
        <f t="shared" si="13"/>
        <v>5</v>
      </c>
      <c r="X41" s="74">
        <f t="shared" si="13"/>
        <v>5</v>
      </c>
      <c r="Y41" s="74">
        <f t="shared" si="13"/>
        <v>5</v>
      </c>
      <c r="Z41" s="74">
        <f t="shared" si="13"/>
        <v>5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10</v>
      </c>
      <c r="K42" s="74">
        <f t="shared" si="11"/>
        <v>-5</v>
      </c>
      <c r="L42" s="74">
        <f t="shared" si="11"/>
        <v>0</v>
      </c>
      <c r="M42" s="74">
        <f t="shared" si="11"/>
        <v>0</v>
      </c>
      <c r="N42" s="74">
        <f t="shared" si="11"/>
        <v>0</v>
      </c>
      <c r="O42" s="74">
        <f t="shared" si="11"/>
        <v>0</v>
      </c>
      <c r="P42" s="74">
        <f t="shared" si="11"/>
        <v>0</v>
      </c>
      <c r="Q42" s="74">
        <f t="shared" si="11"/>
        <v>0</v>
      </c>
      <c r="R42" s="74">
        <f t="shared" si="11"/>
        <v>0</v>
      </c>
      <c r="S42" s="74">
        <f t="shared" si="11"/>
        <v>0</v>
      </c>
      <c r="T42" s="74">
        <f t="shared" si="11"/>
        <v>30</v>
      </c>
      <c r="U42" s="74">
        <f t="shared" si="11"/>
        <v>0</v>
      </c>
      <c r="V42" s="74">
        <f t="shared" si="11"/>
        <v>0</v>
      </c>
      <c r="W42" s="74">
        <f t="shared" si="11"/>
        <v>0</v>
      </c>
      <c r="X42" s="74">
        <f t="shared" si="11"/>
        <v>0</v>
      </c>
      <c r="Y42" s="74">
        <f t="shared" si="11"/>
        <v>0</v>
      </c>
      <c r="Z42" s="74">
        <f t="shared" si="11"/>
        <v>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3"/>
  <dimension ref="A1:AB57"/>
  <sheetViews>
    <sheetView workbookViewId="0">
      <selection activeCell="M7" sqref="M7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 t="s">
        <v>76</v>
      </c>
      <c r="N1" s="23"/>
      <c r="O1" s="23"/>
      <c r="P1" s="23" t="s">
        <v>76</v>
      </c>
      <c r="Q1" s="23" t="s">
        <v>76</v>
      </c>
      <c r="R1" s="23"/>
      <c r="S1" s="23" t="s">
        <v>76</v>
      </c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0</v>
      </c>
      <c r="B2" s="70" t="s">
        <v>38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112</v>
      </c>
      <c r="L4" s="68">
        <f t="shared" si="0"/>
        <v>122</v>
      </c>
      <c r="M4" s="68">
        <f t="shared" si="0"/>
        <v>132</v>
      </c>
      <c r="N4" s="68">
        <f t="shared" si="0"/>
        <v>142</v>
      </c>
      <c r="O4" s="68">
        <f t="shared" si="0"/>
        <v>182</v>
      </c>
      <c r="P4" s="68">
        <f t="shared" si="0"/>
        <v>202</v>
      </c>
      <c r="Q4" s="68">
        <f t="shared" si="0"/>
        <v>207</v>
      </c>
      <c r="R4" s="68">
        <f t="shared" si="0"/>
        <v>227</v>
      </c>
      <c r="S4" s="68">
        <f t="shared" si="0"/>
        <v>257</v>
      </c>
      <c r="T4" s="68">
        <f t="shared" si="0"/>
        <v>262</v>
      </c>
      <c r="U4" s="68">
        <f t="shared" si="0"/>
        <v>302</v>
      </c>
      <c r="V4" s="68">
        <f t="shared" si="0"/>
        <v>332</v>
      </c>
      <c r="W4" s="68">
        <f t="shared" si="0"/>
        <v>352</v>
      </c>
      <c r="X4" s="68">
        <f t="shared" si="0"/>
        <v>452</v>
      </c>
      <c r="Y4" s="68">
        <f t="shared" si="0"/>
        <v>552</v>
      </c>
      <c r="Z4" s="68">
        <f t="shared" si="0"/>
        <v>652</v>
      </c>
      <c r="AA4" s="68">
        <f t="shared" si="0"/>
        <v>752</v>
      </c>
      <c r="AB4" s="68">
        <f t="shared" si="0"/>
        <v>852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10</v>
      </c>
      <c r="K5" s="69">
        <v>10</v>
      </c>
      <c r="L5" s="69">
        <v>10</v>
      </c>
      <c r="M5" s="69">
        <v>10</v>
      </c>
      <c r="N5" s="69">
        <v>40</v>
      </c>
      <c r="O5" s="69">
        <v>20</v>
      </c>
      <c r="P5" s="69">
        <v>5</v>
      </c>
      <c r="Q5" s="69">
        <v>20</v>
      </c>
      <c r="R5" s="69">
        <v>30</v>
      </c>
      <c r="S5" s="69">
        <v>5</v>
      </c>
      <c r="T5" s="69">
        <v>20</v>
      </c>
      <c r="U5" s="69">
        <v>10</v>
      </c>
      <c r="V5" s="69">
        <v>20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20</v>
      </c>
      <c r="U6" s="69">
        <v>20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2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10</v>
      </c>
      <c r="K8" s="44">
        <v>15</v>
      </c>
      <c r="L8" s="44">
        <v>25</v>
      </c>
      <c r="M8" s="44">
        <v>0</v>
      </c>
      <c r="N8" s="44">
        <v>0</v>
      </c>
      <c r="O8" s="44">
        <v>-20</v>
      </c>
      <c r="P8" s="44">
        <v>-20</v>
      </c>
      <c r="Q8" s="44">
        <v>0</v>
      </c>
      <c r="R8" s="44">
        <v>0</v>
      </c>
      <c r="S8" s="44">
        <v>0</v>
      </c>
      <c r="T8" s="44">
        <v>-5</v>
      </c>
      <c r="U8" s="44">
        <v>-10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-17</v>
      </c>
      <c r="K9" s="44">
        <v>-18</v>
      </c>
      <c r="L9" s="44">
        <v>-25</v>
      </c>
      <c r="M9" s="44">
        <v>-45</v>
      </c>
      <c r="N9" s="44">
        <v>-45</v>
      </c>
      <c r="O9" s="44">
        <v>0</v>
      </c>
      <c r="P9" s="44">
        <v>0</v>
      </c>
      <c r="Q9" s="44">
        <v>-45</v>
      </c>
      <c r="R9" s="44">
        <v>-45</v>
      </c>
      <c r="S9" s="44">
        <v>-45</v>
      </c>
      <c r="T9" s="44">
        <v>-35</v>
      </c>
      <c r="U9" s="44">
        <v>-25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-13</v>
      </c>
      <c r="K10" s="44">
        <v>-20</v>
      </c>
      <c r="L10" s="44">
        <v>0</v>
      </c>
      <c r="M10" s="44">
        <v>30</v>
      </c>
      <c r="N10" s="44">
        <v>30</v>
      </c>
      <c r="O10" s="44">
        <v>30</v>
      </c>
      <c r="P10" s="44">
        <v>30</v>
      </c>
      <c r="Q10" s="44">
        <v>30</v>
      </c>
      <c r="R10" s="44">
        <v>30</v>
      </c>
      <c r="S10" s="44">
        <v>30</v>
      </c>
      <c r="T10" s="44">
        <v>-35</v>
      </c>
      <c r="U10" s="44">
        <v>-25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-10</v>
      </c>
      <c r="K11" s="44">
        <v>-15</v>
      </c>
      <c r="L11" s="44">
        <v>-15</v>
      </c>
      <c r="M11" s="44">
        <v>5</v>
      </c>
      <c r="N11" s="44">
        <v>5</v>
      </c>
      <c r="O11" s="44">
        <v>5</v>
      </c>
      <c r="P11" s="44">
        <v>5</v>
      </c>
      <c r="Q11" s="44">
        <v>5</v>
      </c>
      <c r="R11" s="44">
        <v>5</v>
      </c>
      <c r="S11" s="44">
        <v>5</v>
      </c>
      <c r="T11" s="44">
        <v>-10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-10</v>
      </c>
      <c r="K12" s="50">
        <v>0</v>
      </c>
      <c r="L12" s="50">
        <v>-20</v>
      </c>
      <c r="M12" s="50">
        <v>-5</v>
      </c>
      <c r="N12" s="50">
        <v>-5</v>
      </c>
      <c r="O12" s="50">
        <v>15</v>
      </c>
      <c r="P12" s="50">
        <v>15</v>
      </c>
      <c r="Q12" s="50">
        <v>-5</v>
      </c>
      <c r="R12" s="50">
        <v>-5</v>
      </c>
      <c r="S12" s="50">
        <v>-5</v>
      </c>
      <c r="T12" s="50">
        <v>-30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-12</v>
      </c>
      <c r="K13" s="50">
        <v>-18</v>
      </c>
      <c r="L13" s="50">
        <v>10</v>
      </c>
      <c r="M13" s="50">
        <v>30</v>
      </c>
      <c r="N13" s="50">
        <v>30</v>
      </c>
      <c r="O13" s="50">
        <v>10</v>
      </c>
      <c r="P13" s="50">
        <v>10</v>
      </c>
      <c r="Q13" s="50">
        <v>30</v>
      </c>
      <c r="R13" s="50">
        <v>30</v>
      </c>
      <c r="S13" s="50">
        <v>30</v>
      </c>
      <c r="T13" s="50">
        <v>-25</v>
      </c>
      <c r="U13" s="50">
        <v>-30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-8</v>
      </c>
      <c r="K14" s="50">
        <v>-20</v>
      </c>
      <c r="L14" s="50">
        <v>-40</v>
      </c>
      <c r="M14" s="50">
        <v>-45</v>
      </c>
      <c r="N14" s="50">
        <v>-45</v>
      </c>
      <c r="O14" s="50">
        <v>-10</v>
      </c>
      <c r="P14" s="50">
        <v>-10</v>
      </c>
      <c r="Q14" s="50">
        <v>-45</v>
      </c>
      <c r="R14" s="50">
        <v>-45</v>
      </c>
      <c r="S14" s="50">
        <v>-45</v>
      </c>
      <c r="T14" s="50">
        <v>-25</v>
      </c>
      <c r="U14" s="50">
        <v>-30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10</v>
      </c>
      <c r="K15" s="50">
        <v>-5</v>
      </c>
      <c r="L15" s="50">
        <v>0</v>
      </c>
      <c r="M15" s="50">
        <v>0</v>
      </c>
      <c r="N15" s="50">
        <v>0</v>
      </c>
      <c r="O15" s="50">
        <v>0</v>
      </c>
      <c r="P15" s="50">
        <v>0</v>
      </c>
      <c r="Q15" s="50">
        <v>0</v>
      </c>
      <c r="R15" s="50">
        <v>0</v>
      </c>
      <c r="S15" s="50">
        <v>0</v>
      </c>
      <c r="T15" s="50">
        <v>30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20</v>
      </c>
      <c r="K16" s="57">
        <v>0</v>
      </c>
      <c r="L16" s="57">
        <v>-40</v>
      </c>
      <c r="M16" s="57">
        <v>-90</v>
      </c>
      <c r="N16" s="57">
        <v>-100</v>
      </c>
      <c r="O16" s="57">
        <v>-100</v>
      </c>
      <c r="P16" s="57">
        <v>-100</v>
      </c>
      <c r="Q16" s="57">
        <v>-100</v>
      </c>
      <c r="R16" s="57">
        <v>-50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-70</v>
      </c>
      <c r="K17" s="44">
        <v>-70</v>
      </c>
      <c r="L17" s="44">
        <v>25</v>
      </c>
      <c r="M17" s="44">
        <v>20</v>
      </c>
      <c r="N17" s="44">
        <v>-120</v>
      </c>
      <c r="O17" s="44">
        <v>-120</v>
      </c>
      <c r="P17" s="44">
        <v>-150</v>
      </c>
      <c r="Q17" s="44">
        <v>-40</v>
      </c>
      <c r="R17" s="44">
        <v>0</v>
      </c>
      <c r="S17" s="44">
        <v>100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-20</v>
      </c>
      <c r="K18" s="44">
        <v>-20</v>
      </c>
      <c r="L18" s="44">
        <v>-20</v>
      </c>
      <c r="M18" s="44">
        <v>70</v>
      </c>
      <c r="N18" s="44">
        <v>80</v>
      </c>
      <c r="O18" s="44">
        <v>80</v>
      </c>
      <c r="P18" s="44">
        <v>80</v>
      </c>
      <c r="Q18" s="44">
        <v>80</v>
      </c>
      <c r="R18" s="44">
        <v>80</v>
      </c>
      <c r="S18" s="44">
        <v>80</v>
      </c>
      <c r="T18" s="44">
        <v>15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-75</v>
      </c>
      <c r="M19" s="44">
        <v>-75</v>
      </c>
      <c r="N19" s="44">
        <v>-120</v>
      </c>
      <c r="O19" s="44">
        <v>-120</v>
      </c>
      <c r="P19" s="44">
        <v>-120</v>
      </c>
      <c r="Q19" s="44">
        <v>-90</v>
      </c>
      <c r="R19" s="44">
        <v>-80</v>
      </c>
      <c r="S19" s="44">
        <v>-80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-75</v>
      </c>
      <c r="M20" s="44">
        <v>-75</v>
      </c>
      <c r="N20" s="44">
        <v>-120</v>
      </c>
      <c r="O20" s="44">
        <v>-120</v>
      </c>
      <c r="P20" s="44">
        <v>-120</v>
      </c>
      <c r="Q20" s="44">
        <v>-90</v>
      </c>
      <c r="R20" s="44">
        <v>-80</v>
      </c>
      <c r="S20" s="44">
        <v>-80</v>
      </c>
      <c r="T20" s="44">
        <v>-180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-30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-17</v>
      </c>
      <c r="K25" s="64">
        <f t="shared" si="3"/>
        <v>-18</v>
      </c>
      <c r="L25" s="64">
        <f t="shared" si="3"/>
        <v>-25</v>
      </c>
      <c r="M25" s="64">
        <f t="shared" si="3"/>
        <v>-45</v>
      </c>
      <c r="N25" s="64">
        <f t="shared" si="3"/>
        <v>-45</v>
      </c>
      <c r="O25" s="64">
        <f t="shared" si="3"/>
        <v>0</v>
      </c>
      <c r="P25" s="64">
        <f t="shared" si="3"/>
        <v>0</v>
      </c>
      <c r="Q25" s="64">
        <f t="shared" si="3"/>
        <v>-45</v>
      </c>
      <c r="R25" s="64">
        <f t="shared" si="3"/>
        <v>-45</v>
      </c>
      <c r="S25" s="64">
        <f t="shared" si="3"/>
        <v>-45</v>
      </c>
      <c r="T25" s="64">
        <f t="shared" si="3"/>
        <v>-35</v>
      </c>
      <c r="U25" s="64">
        <f t="shared" si="3"/>
        <v>-25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-13</v>
      </c>
      <c r="K26" s="64">
        <f t="shared" si="3"/>
        <v>-20</v>
      </c>
      <c r="L26" s="64">
        <f t="shared" si="3"/>
        <v>0</v>
      </c>
      <c r="M26" s="64">
        <f t="shared" si="3"/>
        <v>30</v>
      </c>
      <c r="N26" s="64">
        <f t="shared" si="3"/>
        <v>30</v>
      </c>
      <c r="O26" s="64">
        <f t="shared" si="3"/>
        <v>30</v>
      </c>
      <c r="P26" s="64">
        <f t="shared" si="3"/>
        <v>30</v>
      </c>
      <c r="Q26" s="64">
        <f t="shared" si="3"/>
        <v>30</v>
      </c>
      <c r="R26" s="64">
        <f t="shared" si="3"/>
        <v>30</v>
      </c>
      <c r="S26" s="64">
        <f t="shared" si="3"/>
        <v>30</v>
      </c>
      <c r="T26" s="64">
        <f t="shared" si="3"/>
        <v>-35</v>
      </c>
      <c r="U26" s="64">
        <f t="shared" si="3"/>
        <v>-25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-12</v>
      </c>
      <c r="K27" s="64">
        <f t="shared" si="5"/>
        <v>-18</v>
      </c>
      <c r="L27" s="64">
        <f t="shared" si="5"/>
        <v>10</v>
      </c>
      <c r="M27" s="64">
        <f t="shared" si="5"/>
        <v>30</v>
      </c>
      <c r="N27" s="64">
        <f t="shared" si="5"/>
        <v>30</v>
      </c>
      <c r="O27" s="64">
        <f t="shared" si="5"/>
        <v>10</v>
      </c>
      <c r="P27" s="64">
        <f t="shared" si="5"/>
        <v>10</v>
      </c>
      <c r="Q27" s="64">
        <f t="shared" si="5"/>
        <v>30</v>
      </c>
      <c r="R27" s="64">
        <f t="shared" si="5"/>
        <v>30</v>
      </c>
      <c r="S27" s="64">
        <f t="shared" si="5"/>
        <v>30</v>
      </c>
      <c r="T27" s="64">
        <f t="shared" si="5"/>
        <v>-25</v>
      </c>
      <c r="U27" s="64">
        <f t="shared" si="5"/>
        <v>-30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-8</v>
      </c>
      <c r="K28" s="64">
        <f t="shared" si="5"/>
        <v>-20</v>
      </c>
      <c r="L28" s="64">
        <f t="shared" si="5"/>
        <v>-40</v>
      </c>
      <c r="M28" s="64">
        <f t="shared" si="5"/>
        <v>-45</v>
      </c>
      <c r="N28" s="64">
        <f t="shared" si="5"/>
        <v>-45</v>
      </c>
      <c r="O28" s="64">
        <f t="shared" si="5"/>
        <v>-10</v>
      </c>
      <c r="P28" s="64">
        <f t="shared" si="5"/>
        <v>-10</v>
      </c>
      <c r="Q28" s="64">
        <f t="shared" si="5"/>
        <v>-45</v>
      </c>
      <c r="R28" s="64">
        <f t="shared" si="5"/>
        <v>-45</v>
      </c>
      <c r="S28" s="64">
        <f t="shared" si="5"/>
        <v>-45</v>
      </c>
      <c r="T28" s="64">
        <f t="shared" si="5"/>
        <v>-25</v>
      </c>
      <c r="U28" s="64">
        <f t="shared" si="5"/>
        <v>-30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-20</v>
      </c>
      <c r="K29" s="64">
        <f t="shared" si="6"/>
        <v>-20</v>
      </c>
      <c r="L29" s="64">
        <f t="shared" si="6"/>
        <v>-20</v>
      </c>
      <c r="M29" s="64">
        <f t="shared" si="6"/>
        <v>70</v>
      </c>
      <c r="N29" s="64">
        <f t="shared" si="6"/>
        <v>80</v>
      </c>
      <c r="O29" s="64">
        <f t="shared" si="6"/>
        <v>80</v>
      </c>
      <c r="P29" s="64">
        <f t="shared" si="6"/>
        <v>80</v>
      </c>
      <c r="Q29" s="64">
        <f t="shared" si="6"/>
        <v>80</v>
      </c>
      <c r="R29" s="64">
        <f t="shared" si="6"/>
        <v>80</v>
      </c>
      <c r="S29" s="64">
        <f t="shared" si="6"/>
        <v>80</v>
      </c>
      <c r="T29" s="64">
        <f t="shared" si="6"/>
        <v>15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0</v>
      </c>
      <c r="K30" s="64">
        <f t="shared" si="7"/>
        <v>0</v>
      </c>
      <c r="L30" s="64">
        <f t="shared" si="7"/>
        <v>0</v>
      </c>
      <c r="M30" s="64">
        <f t="shared" si="7"/>
        <v>0</v>
      </c>
      <c r="N30" s="64">
        <f t="shared" si="7"/>
        <v>0</v>
      </c>
      <c r="O30" s="64">
        <f t="shared" si="7"/>
        <v>0</v>
      </c>
      <c r="P30" s="64">
        <f t="shared" si="7"/>
        <v>0</v>
      </c>
      <c r="Q30" s="64">
        <f t="shared" si="7"/>
        <v>0</v>
      </c>
      <c r="R30" s="64">
        <f t="shared" si="7"/>
        <v>0</v>
      </c>
      <c r="S30" s="64">
        <f t="shared" si="7"/>
        <v>0</v>
      </c>
      <c r="T30" s="64">
        <f t="shared" si="7"/>
        <v>-30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I35" s="74">
        <f>I20</f>
        <v>0</v>
      </c>
      <c r="J35" s="74">
        <f t="shared" ref="J35:Q35" si="8">J20</f>
        <v>0</v>
      </c>
      <c r="K35" s="74">
        <f t="shared" si="8"/>
        <v>0</v>
      </c>
      <c r="L35" s="74">
        <f t="shared" si="8"/>
        <v>-75</v>
      </c>
      <c r="M35" s="74">
        <f t="shared" si="8"/>
        <v>-75</v>
      </c>
      <c r="N35" s="74">
        <f t="shared" si="8"/>
        <v>-120</v>
      </c>
      <c r="O35" s="74">
        <f t="shared" si="8"/>
        <v>-120</v>
      </c>
      <c r="P35" s="74">
        <f t="shared" si="8"/>
        <v>-120</v>
      </c>
      <c r="Q35" s="74">
        <f t="shared" si="8"/>
        <v>-90</v>
      </c>
      <c r="R35" s="74"/>
      <c r="S35" s="74"/>
      <c r="T35" s="74"/>
      <c r="U35" s="74"/>
      <c r="V35" s="74"/>
      <c r="W35" s="74"/>
      <c r="X35" s="74"/>
      <c r="Y35" s="74"/>
      <c r="Z35" s="74"/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I36" s="74">
        <f>I19</f>
        <v>0</v>
      </c>
      <c r="J36" s="74">
        <f t="shared" ref="J36:Q36" si="9">J19</f>
        <v>0</v>
      </c>
      <c r="K36" s="74">
        <f t="shared" si="9"/>
        <v>0</v>
      </c>
      <c r="L36" s="74">
        <f t="shared" si="9"/>
        <v>-75</v>
      </c>
      <c r="M36" s="74">
        <f t="shared" si="9"/>
        <v>-75</v>
      </c>
      <c r="N36" s="74">
        <f t="shared" si="9"/>
        <v>-120</v>
      </c>
      <c r="O36" s="74">
        <f t="shared" si="9"/>
        <v>-120</v>
      </c>
      <c r="P36" s="74">
        <f t="shared" si="9"/>
        <v>-120</v>
      </c>
      <c r="Q36" s="74">
        <f t="shared" si="9"/>
        <v>-90</v>
      </c>
      <c r="R36" s="74"/>
      <c r="S36" s="74"/>
      <c r="T36" s="74"/>
      <c r="U36" s="74"/>
      <c r="V36" s="74"/>
      <c r="W36" s="74"/>
      <c r="X36" s="74"/>
      <c r="Y36" s="74"/>
      <c r="Z36" s="74"/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  <c r="Z41" s="74"/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/>
  <dimension ref="A1:AB57"/>
  <sheetViews>
    <sheetView workbookViewId="0">
      <selection activeCell="K27" sqref="K27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 t="s">
        <v>76</v>
      </c>
      <c r="N1" s="23"/>
      <c r="O1" s="23"/>
      <c r="P1" s="23" t="s">
        <v>76</v>
      </c>
      <c r="Q1" s="23" t="s">
        <v>76</v>
      </c>
      <c r="R1" s="23"/>
      <c r="S1" s="23" t="s">
        <v>76</v>
      </c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5</v>
      </c>
      <c r="B2" s="70" t="s">
        <v>75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122</v>
      </c>
      <c r="L4" s="68">
        <f t="shared" si="0"/>
        <v>132</v>
      </c>
      <c r="M4" s="68">
        <f t="shared" si="0"/>
        <v>142</v>
      </c>
      <c r="N4" s="68">
        <f t="shared" si="0"/>
        <v>147</v>
      </c>
      <c r="O4" s="68">
        <f t="shared" si="0"/>
        <v>187</v>
      </c>
      <c r="P4" s="68">
        <f t="shared" si="0"/>
        <v>207</v>
      </c>
      <c r="Q4" s="68">
        <f t="shared" si="0"/>
        <v>212</v>
      </c>
      <c r="R4" s="68">
        <f t="shared" si="0"/>
        <v>232</v>
      </c>
      <c r="S4" s="68">
        <f t="shared" si="0"/>
        <v>262</v>
      </c>
      <c r="T4" s="68">
        <f t="shared" si="0"/>
        <v>267</v>
      </c>
      <c r="U4" s="68">
        <f t="shared" si="0"/>
        <v>307</v>
      </c>
      <c r="V4" s="68">
        <f t="shared" si="0"/>
        <v>337</v>
      </c>
      <c r="W4" s="68">
        <f t="shared" si="0"/>
        <v>357</v>
      </c>
      <c r="X4" s="68">
        <f t="shared" si="0"/>
        <v>457</v>
      </c>
      <c r="Y4" s="68">
        <f t="shared" si="0"/>
        <v>557</v>
      </c>
      <c r="Z4" s="68">
        <f t="shared" si="0"/>
        <v>657</v>
      </c>
      <c r="AA4" s="68">
        <f t="shared" si="0"/>
        <v>757</v>
      </c>
      <c r="AB4" s="68">
        <f t="shared" si="0"/>
        <v>857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20</v>
      </c>
      <c r="K5" s="69">
        <v>10</v>
      </c>
      <c r="L5" s="69">
        <v>10</v>
      </c>
      <c r="M5" s="69">
        <v>5</v>
      </c>
      <c r="N5" s="69">
        <v>40</v>
      </c>
      <c r="O5" s="69">
        <v>20</v>
      </c>
      <c r="P5" s="69">
        <v>5</v>
      </c>
      <c r="Q5" s="69">
        <v>20</v>
      </c>
      <c r="R5" s="69">
        <v>30</v>
      </c>
      <c r="S5" s="69">
        <v>5</v>
      </c>
      <c r="T5" s="69">
        <v>20</v>
      </c>
      <c r="U5" s="69">
        <v>10</v>
      </c>
      <c r="V5" s="69">
        <v>20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20</v>
      </c>
      <c r="U6" s="69">
        <v>20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2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-10</v>
      </c>
      <c r="K8" s="44">
        <v>0</v>
      </c>
      <c r="L8" s="44">
        <v>-20</v>
      </c>
      <c r="M8" s="44">
        <v>-5</v>
      </c>
      <c r="N8" s="44">
        <v>-5</v>
      </c>
      <c r="O8" s="44">
        <v>15</v>
      </c>
      <c r="P8" s="44">
        <v>15</v>
      </c>
      <c r="Q8" s="44">
        <v>-5</v>
      </c>
      <c r="R8" s="44">
        <v>-5</v>
      </c>
      <c r="S8" s="44">
        <v>-5</v>
      </c>
      <c r="T8" s="44">
        <v>-30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-12</v>
      </c>
      <c r="K9" s="44">
        <v>-18</v>
      </c>
      <c r="L9" s="44">
        <v>10</v>
      </c>
      <c r="M9" s="44">
        <v>30</v>
      </c>
      <c r="N9" s="44">
        <v>30</v>
      </c>
      <c r="O9" s="44">
        <v>10</v>
      </c>
      <c r="P9" s="44">
        <v>10</v>
      </c>
      <c r="Q9" s="44">
        <v>30</v>
      </c>
      <c r="R9" s="44">
        <v>30</v>
      </c>
      <c r="S9" s="44">
        <v>30</v>
      </c>
      <c r="T9" s="44">
        <v>-25</v>
      </c>
      <c r="U9" s="44">
        <v>-30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-8</v>
      </c>
      <c r="K10" s="44">
        <v>-20</v>
      </c>
      <c r="L10" s="44">
        <v>-40</v>
      </c>
      <c r="M10" s="44">
        <v>-45</v>
      </c>
      <c r="N10" s="44">
        <v>-45</v>
      </c>
      <c r="O10" s="44">
        <v>-10</v>
      </c>
      <c r="P10" s="44">
        <v>-10</v>
      </c>
      <c r="Q10" s="44">
        <v>-45</v>
      </c>
      <c r="R10" s="44">
        <v>-45</v>
      </c>
      <c r="S10" s="44">
        <v>-45</v>
      </c>
      <c r="T10" s="44">
        <v>-25</v>
      </c>
      <c r="U10" s="44">
        <v>-30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10</v>
      </c>
      <c r="K11" s="44">
        <v>-5</v>
      </c>
      <c r="L11" s="44">
        <v>0</v>
      </c>
      <c r="M11" s="44">
        <v>0</v>
      </c>
      <c r="N11" s="44">
        <v>0</v>
      </c>
      <c r="O11" s="44">
        <v>0</v>
      </c>
      <c r="P11" s="44">
        <v>0</v>
      </c>
      <c r="Q11" s="44">
        <v>0</v>
      </c>
      <c r="R11" s="44">
        <v>0</v>
      </c>
      <c r="S11" s="44">
        <v>0</v>
      </c>
      <c r="T11" s="44">
        <v>30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10</v>
      </c>
      <c r="K12" s="50">
        <v>15</v>
      </c>
      <c r="L12" s="50">
        <v>25</v>
      </c>
      <c r="M12" s="50">
        <v>0</v>
      </c>
      <c r="N12" s="50">
        <v>0</v>
      </c>
      <c r="O12" s="50">
        <v>-20</v>
      </c>
      <c r="P12" s="50">
        <v>-20</v>
      </c>
      <c r="Q12" s="50">
        <v>0</v>
      </c>
      <c r="R12" s="50">
        <v>0</v>
      </c>
      <c r="S12" s="50">
        <v>0</v>
      </c>
      <c r="T12" s="50">
        <v>-5</v>
      </c>
      <c r="U12" s="50">
        <v>-10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-17</v>
      </c>
      <c r="K13" s="50">
        <v>-18</v>
      </c>
      <c r="L13" s="50">
        <v>-25</v>
      </c>
      <c r="M13" s="50">
        <v>-45</v>
      </c>
      <c r="N13" s="50">
        <v>-45</v>
      </c>
      <c r="O13" s="50">
        <v>0</v>
      </c>
      <c r="P13" s="50">
        <v>0</v>
      </c>
      <c r="Q13" s="50">
        <v>-45</v>
      </c>
      <c r="R13" s="50">
        <v>-45</v>
      </c>
      <c r="S13" s="50">
        <v>-45</v>
      </c>
      <c r="T13" s="50">
        <v>-35</v>
      </c>
      <c r="U13" s="50">
        <v>-25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-13</v>
      </c>
      <c r="K14" s="50">
        <v>-20</v>
      </c>
      <c r="L14" s="50">
        <v>0</v>
      </c>
      <c r="M14" s="50">
        <v>30</v>
      </c>
      <c r="N14" s="50">
        <v>30</v>
      </c>
      <c r="O14" s="50">
        <v>30</v>
      </c>
      <c r="P14" s="50">
        <v>30</v>
      </c>
      <c r="Q14" s="50">
        <v>30</v>
      </c>
      <c r="R14" s="50">
        <v>30</v>
      </c>
      <c r="S14" s="50">
        <v>30</v>
      </c>
      <c r="T14" s="50">
        <v>-35</v>
      </c>
      <c r="U14" s="50">
        <v>-25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-10</v>
      </c>
      <c r="K15" s="50">
        <v>-15</v>
      </c>
      <c r="L15" s="50">
        <v>-15</v>
      </c>
      <c r="M15" s="50">
        <v>5</v>
      </c>
      <c r="N15" s="50">
        <v>5</v>
      </c>
      <c r="O15" s="50">
        <v>5</v>
      </c>
      <c r="P15" s="50">
        <v>5</v>
      </c>
      <c r="Q15" s="50">
        <v>5</v>
      </c>
      <c r="R15" s="50">
        <v>5</v>
      </c>
      <c r="S15" s="50">
        <v>5</v>
      </c>
      <c r="T15" s="50">
        <v>-10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30</v>
      </c>
      <c r="K16" s="57">
        <v>45</v>
      </c>
      <c r="L16" s="57">
        <v>50</v>
      </c>
      <c r="M16" s="57">
        <v>100</v>
      </c>
      <c r="N16" s="57">
        <v>100</v>
      </c>
      <c r="O16" s="57">
        <v>100</v>
      </c>
      <c r="P16" s="57">
        <v>100</v>
      </c>
      <c r="Q16" s="57">
        <v>100</v>
      </c>
      <c r="R16" s="57">
        <v>50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-30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-150</v>
      </c>
      <c r="K21" s="50">
        <v>-40</v>
      </c>
      <c r="L21" s="50">
        <v>-30</v>
      </c>
      <c r="M21" s="50">
        <v>-60</v>
      </c>
      <c r="N21" s="50">
        <v>-120</v>
      </c>
      <c r="O21" s="50">
        <v>-120</v>
      </c>
      <c r="P21" s="50">
        <v>-150</v>
      </c>
      <c r="Q21" s="50">
        <v>-40</v>
      </c>
      <c r="R21" s="50">
        <v>0</v>
      </c>
      <c r="S21" s="50">
        <v>100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45</v>
      </c>
      <c r="K22" s="50">
        <v>20</v>
      </c>
      <c r="L22" s="50">
        <v>0</v>
      </c>
      <c r="M22" s="50">
        <v>60</v>
      </c>
      <c r="N22" s="50">
        <v>80</v>
      </c>
      <c r="O22" s="50">
        <v>80</v>
      </c>
      <c r="P22" s="50">
        <v>80</v>
      </c>
      <c r="Q22" s="50">
        <v>80</v>
      </c>
      <c r="R22" s="50">
        <v>80</v>
      </c>
      <c r="S22" s="50">
        <v>80</v>
      </c>
      <c r="T22" s="50">
        <v>15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-90</v>
      </c>
      <c r="N23" s="50">
        <v>-120</v>
      </c>
      <c r="O23" s="50">
        <v>-120</v>
      </c>
      <c r="P23" s="50">
        <v>-120</v>
      </c>
      <c r="Q23" s="50">
        <v>-90</v>
      </c>
      <c r="R23" s="50">
        <v>-80</v>
      </c>
      <c r="S23" s="50">
        <v>-80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-180</v>
      </c>
      <c r="K24" s="50">
        <v>-180</v>
      </c>
      <c r="L24" s="50">
        <v>-150</v>
      </c>
      <c r="M24" s="50">
        <v>-90</v>
      </c>
      <c r="N24" s="50">
        <v>-120</v>
      </c>
      <c r="O24" s="50">
        <v>-120</v>
      </c>
      <c r="P24" s="50">
        <v>-120</v>
      </c>
      <c r="Q24" s="50">
        <v>-90</v>
      </c>
      <c r="R24" s="50">
        <v>-80</v>
      </c>
      <c r="S24" s="50">
        <v>-80</v>
      </c>
      <c r="T24" s="50">
        <v>-180</v>
      </c>
      <c r="U24" s="50">
        <v>-180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-12</v>
      </c>
      <c r="K25" s="64">
        <f t="shared" si="3"/>
        <v>-18</v>
      </c>
      <c r="L25" s="64">
        <f t="shared" si="3"/>
        <v>10</v>
      </c>
      <c r="M25" s="64">
        <f t="shared" si="3"/>
        <v>30</v>
      </c>
      <c r="N25" s="64">
        <f t="shared" si="3"/>
        <v>30</v>
      </c>
      <c r="O25" s="64">
        <f t="shared" si="3"/>
        <v>10</v>
      </c>
      <c r="P25" s="64">
        <f t="shared" si="3"/>
        <v>10</v>
      </c>
      <c r="Q25" s="64">
        <f t="shared" si="3"/>
        <v>30</v>
      </c>
      <c r="R25" s="64">
        <f t="shared" si="3"/>
        <v>30</v>
      </c>
      <c r="S25" s="64">
        <f t="shared" si="3"/>
        <v>30</v>
      </c>
      <c r="T25" s="64">
        <f t="shared" si="3"/>
        <v>-25</v>
      </c>
      <c r="U25" s="64">
        <f t="shared" si="3"/>
        <v>-30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-8</v>
      </c>
      <c r="K26" s="64">
        <f t="shared" si="3"/>
        <v>-20</v>
      </c>
      <c r="L26" s="64">
        <f t="shared" si="3"/>
        <v>-40</v>
      </c>
      <c r="M26" s="64">
        <f t="shared" si="3"/>
        <v>-45</v>
      </c>
      <c r="N26" s="64">
        <f t="shared" si="3"/>
        <v>-45</v>
      </c>
      <c r="O26" s="64">
        <f t="shared" si="3"/>
        <v>-10</v>
      </c>
      <c r="P26" s="64">
        <f t="shared" si="3"/>
        <v>-10</v>
      </c>
      <c r="Q26" s="64">
        <f t="shared" si="3"/>
        <v>-45</v>
      </c>
      <c r="R26" s="64">
        <f t="shared" si="3"/>
        <v>-45</v>
      </c>
      <c r="S26" s="64">
        <f t="shared" si="3"/>
        <v>-45</v>
      </c>
      <c r="T26" s="64">
        <f t="shared" si="3"/>
        <v>-25</v>
      </c>
      <c r="U26" s="64">
        <f t="shared" si="3"/>
        <v>-30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-17</v>
      </c>
      <c r="K27" s="64">
        <f t="shared" si="5"/>
        <v>-18</v>
      </c>
      <c r="L27" s="64">
        <f t="shared" si="5"/>
        <v>-25</v>
      </c>
      <c r="M27" s="64">
        <f t="shared" si="5"/>
        <v>-45</v>
      </c>
      <c r="N27" s="64">
        <f t="shared" si="5"/>
        <v>-45</v>
      </c>
      <c r="O27" s="64">
        <f t="shared" si="5"/>
        <v>0</v>
      </c>
      <c r="P27" s="64">
        <f t="shared" si="5"/>
        <v>0</v>
      </c>
      <c r="Q27" s="64">
        <f t="shared" si="5"/>
        <v>-45</v>
      </c>
      <c r="R27" s="64">
        <f t="shared" si="5"/>
        <v>-45</v>
      </c>
      <c r="S27" s="64">
        <f t="shared" si="5"/>
        <v>-45</v>
      </c>
      <c r="T27" s="64">
        <f t="shared" si="5"/>
        <v>-35</v>
      </c>
      <c r="U27" s="64">
        <f t="shared" si="5"/>
        <v>-25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-13</v>
      </c>
      <c r="K28" s="64">
        <f t="shared" si="5"/>
        <v>-20</v>
      </c>
      <c r="L28" s="64">
        <f t="shared" si="5"/>
        <v>0</v>
      </c>
      <c r="M28" s="64">
        <f t="shared" si="5"/>
        <v>30</v>
      </c>
      <c r="N28" s="64">
        <f t="shared" si="5"/>
        <v>30</v>
      </c>
      <c r="O28" s="64">
        <f t="shared" si="5"/>
        <v>30</v>
      </c>
      <c r="P28" s="64">
        <f t="shared" si="5"/>
        <v>30</v>
      </c>
      <c r="Q28" s="64">
        <f t="shared" si="5"/>
        <v>30</v>
      </c>
      <c r="R28" s="64">
        <f t="shared" si="5"/>
        <v>30</v>
      </c>
      <c r="S28" s="64">
        <f t="shared" si="5"/>
        <v>30</v>
      </c>
      <c r="T28" s="64">
        <f t="shared" si="5"/>
        <v>-35</v>
      </c>
      <c r="U28" s="64">
        <f t="shared" si="5"/>
        <v>-25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0</v>
      </c>
      <c r="K29" s="64">
        <f t="shared" si="6"/>
        <v>0</v>
      </c>
      <c r="L29" s="64">
        <f t="shared" si="6"/>
        <v>0</v>
      </c>
      <c r="M29" s="64">
        <f t="shared" si="6"/>
        <v>0</v>
      </c>
      <c r="N29" s="64">
        <f t="shared" si="6"/>
        <v>0</v>
      </c>
      <c r="O29" s="64">
        <f t="shared" si="6"/>
        <v>0</v>
      </c>
      <c r="P29" s="64">
        <f t="shared" si="6"/>
        <v>0</v>
      </c>
      <c r="Q29" s="64">
        <f t="shared" si="6"/>
        <v>0</v>
      </c>
      <c r="R29" s="64">
        <f t="shared" si="6"/>
        <v>0</v>
      </c>
      <c r="S29" s="64">
        <f t="shared" si="6"/>
        <v>0</v>
      </c>
      <c r="T29" s="64">
        <f t="shared" si="6"/>
        <v>-30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45</v>
      </c>
      <c r="K30" s="64">
        <f t="shared" si="7"/>
        <v>20</v>
      </c>
      <c r="L30" s="64">
        <f t="shared" si="7"/>
        <v>0</v>
      </c>
      <c r="M30" s="64">
        <f t="shared" si="7"/>
        <v>60</v>
      </c>
      <c r="N30" s="64">
        <f t="shared" si="7"/>
        <v>80</v>
      </c>
      <c r="O30" s="64">
        <f t="shared" si="7"/>
        <v>80</v>
      </c>
      <c r="P30" s="64">
        <f t="shared" si="7"/>
        <v>80</v>
      </c>
      <c r="Q30" s="64">
        <f t="shared" si="7"/>
        <v>80</v>
      </c>
      <c r="R30" s="64">
        <f t="shared" si="7"/>
        <v>80</v>
      </c>
      <c r="S30" s="64">
        <f t="shared" si="7"/>
        <v>80</v>
      </c>
      <c r="T30" s="64">
        <f t="shared" si="7"/>
        <v>15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-10</v>
      </c>
      <c r="K35" s="74">
        <f t="shared" ref="K35:Z35" si="8">K8</f>
        <v>0</v>
      </c>
      <c r="L35" s="74">
        <f t="shared" si="8"/>
        <v>-20</v>
      </c>
      <c r="M35" s="74">
        <f t="shared" si="8"/>
        <v>-5</v>
      </c>
      <c r="N35" s="74">
        <f t="shared" si="8"/>
        <v>-5</v>
      </c>
      <c r="O35" s="74">
        <f t="shared" si="8"/>
        <v>15</v>
      </c>
      <c r="P35" s="74">
        <f t="shared" si="8"/>
        <v>15</v>
      </c>
      <c r="Q35" s="74">
        <f t="shared" si="8"/>
        <v>-5</v>
      </c>
      <c r="R35" s="74">
        <f t="shared" si="8"/>
        <v>-5</v>
      </c>
      <c r="S35" s="74">
        <f t="shared" si="8"/>
        <v>-5</v>
      </c>
      <c r="T35" s="74">
        <f t="shared" si="8"/>
        <v>-30</v>
      </c>
      <c r="U35" s="74">
        <f t="shared" si="8"/>
        <v>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-17</v>
      </c>
      <c r="K36" s="74">
        <f t="shared" ref="K36:Z36" si="9">K9-5</f>
        <v>-23</v>
      </c>
      <c r="L36" s="74">
        <f t="shared" si="9"/>
        <v>5</v>
      </c>
      <c r="M36" s="74">
        <f t="shared" si="9"/>
        <v>25</v>
      </c>
      <c r="N36" s="74">
        <f t="shared" si="9"/>
        <v>25</v>
      </c>
      <c r="O36" s="74">
        <f t="shared" si="9"/>
        <v>5</v>
      </c>
      <c r="P36" s="74">
        <f t="shared" si="9"/>
        <v>5</v>
      </c>
      <c r="Q36" s="74">
        <f t="shared" si="9"/>
        <v>25</v>
      </c>
      <c r="R36" s="74">
        <f t="shared" si="9"/>
        <v>25</v>
      </c>
      <c r="S36" s="74">
        <f t="shared" si="9"/>
        <v>25</v>
      </c>
      <c r="T36" s="74">
        <f t="shared" si="9"/>
        <v>-30</v>
      </c>
      <c r="U36" s="74">
        <f t="shared" si="9"/>
        <v>-35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-3</v>
      </c>
      <c r="K37" s="74">
        <f t="shared" ref="K37:Z37" si="10">K10+5</f>
        <v>-15</v>
      </c>
      <c r="L37" s="74">
        <f t="shared" si="10"/>
        <v>-35</v>
      </c>
      <c r="M37" s="74">
        <f t="shared" si="10"/>
        <v>-40</v>
      </c>
      <c r="N37" s="74">
        <f t="shared" si="10"/>
        <v>-40</v>
      </c>
      <c r="O37" s="74">
        <f t="shared" si="10"/>
        <v>-5</v>
      </c>
      <c r="P37" s="74">
        <f t="shared" si="10"/>
        <v>-5</v>
      </c>
      <c r="Q37" s="74">
        <f t="shared" si="10"/>
        <v>-40</v>
      </c>
      <c r="R37" s="74">
        <f t="shared" si="10"/>
        <v>-40</v>
      </c>
      <c r="S37" s="74">
        <f t="shared" si="10"/>
        <v>-40</v>
      </c>
      <c r="T37" s="74">
        <f t="shared" si="10"/>
        <v>-20</v>
      </c>
      <c r="U37" s="74">
        <f t="shared" si="10"/>
        <v>-25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Z42" si="11">J11</f>
        <v>10</v>
      </c>
      <c r="K38" s="74">
        <f t="shared" si="11"/>
        <v>-5</v>
      </c>
      <c r="L38" s="74">
        <f t="shared" si="11"/>
        <v>0</v>
      </c>
      <c r="M38" s="74">
        <f t="shared" si="11"/>
        <v>0</v>
      </c>
      <c r="N38" s="74">
        <f t="shared" si="11"/>
        <v>0</v>
      </c>
      <c r="O38" s="74">
        <f t="shared" si="11"/>
        <v>0</v>
      </c>
      <c r="P38" s="74">
        <f t="shared" si="11"/>
        <v>0</v>
      </c>
      <c r="Q38" s="74">
        <f t="shared" si="11"/>
        <v>0</v>
      </c>
      <c r="R38" s="74">
        <f t="shared" si="11"/>
        <v>0</v>
      </c>
      <c r="S38" s="74">
        <f t="shared" si="11"/>
        <v>0</v>
      </c>
      <c r="T38" s="74">
        <f t="shared" si="11"/>
        <v>30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si="11"/>
        <v>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10</v>
      </c>
      <c r="K39" s="74">
        <f t="shared" si="11"/>
        <v>15</v>
      </c>
      <c r="L39" s="74">
        <f t="shared" si="11"/>
        <v>25</v>
      </c>
      <c r="M39" s="74">
        <f t="shared" si="11"/>
        <v>0</v>
      </c>
      <c r="N39" s="74">
        <f t="shared" si="11"/>
        <v>0</v>
      </c>
      <c r="O39" s="74">
        <f t="shared" si="11"/>
        <v>-20</v>
      </c>
      <c r="P39" s="74">
        <f t="shared" si="11"/>
        <v>-20</v>
      </c>
      <c r="Q39" s="74">
        <f t="shared" si="11"/>
        <v>0</v>
      </c>
      <c r="R39" s="74">
        <f t="shared" si="11"/>
        <v>0</v>
      </c>
      <c r="S39" s="74">
        <f t="shared" si="11"/>
        <v>0</v>
      </c>
      <c r="T39" s="74">
        <f t="shared" si="11"/>
        <v>-5</v>
      </c>
      <c r="U39" s="74">
        <f t="shared" si="11"/>
        <v>-10</v>
      </c>
      <c r="V39" s="74">
        <f t="shared" si="11"/>
        <v>0</v>
      </c>
      <c r="W39" s="74">
        <f t="shared" si="11"/>
        <v>0</v>
      </c>
      <c r="X39" s="74">
        <f t="shared" si="11"/>
        <v>0</v>
      </c>
      <c r="Y39" s="74">
        <f t="shared" si="11"/>
        <v>0</v>
      </c>
      <c r="Z39" s="74">
        <f t="shared" si="11"/>
        <v>0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-22</v>
      </c>
      <c r="K40" s="74">
        <f t="shared" ref="K40:Z40" si="12">K13-5</f>
        <v>-23</v>
      </c>
      <c r="L40" s="74">
        <f t="shared" si="12"/>
        <v>-30</v>
      </c>
      <c r="M40" s="74">
        <f t="shared" si="12"/>
        <v>-50</v>
      </c>
      <c r="N40" s="74">
        <f t="shared" si="12"/>
        <v>-50</v>
      </c>
      <c r="O40" s="74">
        <f t="shared" si="12"/>
        <v>-5</v>
      </c>
      <c r="P40" s="74">
        <f t="shared" si="12"/>
        <v>-5</v>
      </c>
      <c r="Q40" s="74">
        <f t="shared" si="12"/>
        <v>-50</v>
      </c>
      <c r="R40" s="74">
        <f t="shared" si="12"/>
        <v>-50</v>
      </c>
      <c r="S40" s="74">
        <f t="shared" si="12"/>
        <v>-50</v>
      </c>
      <c r="T40" s="74">
        <f t="shared" si="12"/>
        <v>-40</v>
      </c>
      <c r="U40" s="74">
        <f t="shared" si="12"/>
        <v>-30</v>
      </c>
      <c r="V40" s="74">
        <f t="shared" si="12"/>
        <v>-5</v>
      </c>
      <c r="W40" s="74">
        <f t="shared" si="12"/>
        <v>-5</v>
      </c>
      <c r="X40" s="74">
        <f t="shared" si="12"/>
        <v>-5</v>
      </c>
      <c r="Y40" s="74">
        <f t="shared" si="12"/>
        <v>-5</v>
      </c>
      <c r="Z40" s="74">
        <f t="shared" si="12"/>
        <v>-5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-8</v>
      </c>
      <c r="K41" s="74">
        <f t="shared" ref="K41:Z41" si="13">K14+5</f>
        <v>-15</v>
      </c>
      <c r="L41" s="74">
        <f t="shared" si="13"/>
        <v>5</v>
      </c>
      <c r="M41" s="74">
        <f t="shared" si="13"/>
        <v>35</v>
      </c>
      <c r="N41" s="74">
        <f t="shared" si="13"/>
        <v>35</v>
      </c>
      <c r="O41" s="74">
        <f t="shared" si="13"/>
        <v>35</v>
      </c>
      <c r="P41" s="74">
        <f t="shared" si="13"/>
        <v>35</v>
      </c>
      <c r="Q41" s="74">
        <f t="shared" si="13"/>
        <v>35</v>
      </c>
      <c r="R41" s="74">
        <f t="shared" si="13"/>
        <v>35</v>
      </c>
      <c r="S41" s="74">
        <f t="shared" si="13"/>
        <v>35</v>
      </c>
      <c r="T41" s="74">
        <f t="shared" si="13"/>
        <v>-30</v>
      </c>
      <c r="U41" s="74">
        <f t="shared" si="13"/>
        <v>-20</v>
      </c>
      <c r="V41" s="74">
        <f t="shared" si="13"/>
        <v>5</v>
      </c>
      <c r="W41" s="74">
        <f t="shared" si="13"/>
        <v>5</v>
      </c>
      <c r="X41" s="74">
        <f t="shared" si="13"/>
        <v>5</v>
      </c>
      <c r="Y41" s="74">
        <f t="shared" si="13"/>
        <v>5</v>
      </c>
      <c r="Z41" s="74">
        <f t="shared" si="13"/>
        <v>5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-10</v>
      </c>
      <c r="K42" s="74">
        <f t="shared" si="11"/>
        <v>-15</v>
      </c>
      <c r="L42" s="74">
        <f t="shared" si="11"/>
        <v>-15</v>
      </c>
      <c r="M42" s="74">
        <f t="shared" si="11"/>
        <v>5</v>
      </c>
      <c r="N42" s="74">
        <f t="shared" si="11"/>
        <v>5</v>
      </c>
      <c r="O42" s="74">
        <f t="shared" si="11"/>
        <v>5</v>
      </c>
      <c r="P42" s="74">
        <f t="shared" si="11"/>
        <v>5</v>
      </c>
      <c r="Q42" s="74">
        <f t="shared" si="11"/>
        <v>5</v>
      </c>
      <c r="R42" s="74">
        <f t="shared" si="11"/>
        <v>5</v>
      </c>
      <c r="S42" s="74">
        <f t="shared" si="11"/>
        <v>5</v>
      </c>
      <c r="T42" s="74">
        <f t="shared" si="11"/>
        <v>-10</v>
      </c>
      <c r="U42" s="74">
        <f t="shared" si="11"/>
        <v>0</v>
      </c>
      <c r="V42" s="74">
        <f t="shared" si="11"/>
        <v>0</v>
      </c>
      <c r="W42" s="74">
        <f t="shared" si="11"/>
        <v>0</v>
      </c>
      <c r="X42" s="74">
        <f t="shared" si="11"/>
        <v>0</v>
      </c>
      <c r="Y42" s="74">
        <f t="shared" si="11"/>
        <v>0</v>
      </c>
      <c r="Z42" s="74">
        <f t="shared" si="11"/>
        <v>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AB57"/>
  <sheetViews>
    <sheetView workbookViewId="0">
      <selection activeCell="M22" sqref="M22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 t="s">
        <v>76</v>
      </c>
      <c r="N1" s="23"/>
      <c r="O1" s="23"/>
      <c r="P1" s="23" t="s">
        <v>76</v>
      </c>
      <c r="Q1" s="23" t="s">
        <v>76</v>
      </c>
      <c r="R1" s="23"/>
      <c r="S1" s="23" t="s">
        <v>76</v>
      </c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5</v>
      </c>
      <c r="B2" s="70" t="s">
        <v>75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122</v>
      </c>
      <c r="L4" s="68">
        <f t="shared" si="0"/>
        <v>132</v>
      </c>
      <c r="M4" s="68">
        <f t="shared" si="0"/>
        <v>142</v>
      </c>
      <c r="N4" s="68">
        <f t="shared" si="0"/>
        <v>147</v>
      </c>
      <c r="O4" s="68">
        <f t="shared" si="0"/>
        <v>187</v>
      </c>
      <c r="P4" s="68">
        <f t="shared" si="0"/>
        <v>207</v>
      </c>
      <c r="Q4" s="68">
        <f t="shared" si="0"/>
        <v>212</v>
      </c>
      <c r="R4" s="68">
        <f t="shared" si="0"/>
        <v>232</v>
      </c>
      <c r="S4" s="68">
        <f t="shared" si="0"/>
        <v>262</v>
      </c>
      <c r="T4" s="68">
        <f t="shared" si="0"/>
        <v>267</v>
      </c>
      <c r="U4" s="68">
        <f t="shared" si="0"/>
        <v>307</v>
      </c>
      <c r="V4" s="68">
        <f t="shared" si="0"/>
        <v>337</v>
      </c>
      <c r="W4" s="68">
        <f t="shared" si="0"/>
        <v>357</v>
      </c>
      <c r="X4" s="68">
        <f t="shared" si="0"/>
        <v>457</v>
      </c>
      <c r="Y4" s="68">
        <f t="shared" si="0"/>
        <v>557</v>
      </c>
      <c r="Z4" s="68">
        <f t="shared" si="0"/>
        <v>657</v>
      </c>
      <c r="AA4" s="68">
        <f t="shared" si="0"/>
        <v>757</v>
      </c>
      <c r="AB4" s="68">
        <f t="shared" si="0"/>
        <v>857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20</v>
      </c>
      <c r="K5" s="69">
        <v>10</v>
      </c>
      <c r="L5" s="69">
        <v>10</v>
      </c>
      <c r="M5" s="69">
        <v>5</v>
      </c>
      <c r="N5" s="69">
        <v>40</v>
      </c>
      <c r="O5" s="69">
        <v>20</v>
      </c>
      <c r="P5" s="69">
        <v>5</v>
      </c>
      <c r="Q5" s="69">
        <v>20</v>
      </c>
      <c r="R5" s="69">
        <v>30</v>
      </c>
      <c r="S5" s="69">
        <v>5</v>
      </c>
      <c r="T5" s="69">
        <v>20</v>
      </c>
      <c r="U5" s="69">
        <v>10</v>
      </c>
      <c r="V5" s="69">
        <v>20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20</v>
      </c>
      <c r="U6" s="69">
        <v>20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2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-10</v>
      </c>
      <c r="K8" s="44">
        <v>0</v>
      </c>
      <c r="L8" s="44">
        <v>-20</v>
      </c>
      <c r="M8" s="44">
        <v>-5</v>
      </c>
      <c r="N8" s="44">
        <v>-5</v>
      </c>
      <c r="O8" s="44">
        <v>15</v>
      </c>
      <c r="P8" s="44">
        <v>15</v>
      </c>
      <c r="Q8" s="44">
        <v>-5</v>
      </c>
      <c r="R8" s="44">
        <v>-5</v>
      </c>
      <c r="S8" s="44">
        <v>-5</v>
      </c>
      <c r="T8" s="44">
        <v>-30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-12</v>
      </c>
      <c r="K9" s="44">
        <v>-18</v>
      </c>
      <c r="L9" s="44">
        <v>10</v>
      </c>
      <c r="M9" s="44">
        <v>30</v>
      </c>
      <c r="N9" s="44">
        <v>30</v>
      </c>
      <c r="O9" s="44">
        <v>10</v>
      </c>
      <c r="P9" s="44">
        <v>10</v>
      </c>
      <c r="Q9" s="44">
        <v>30</v>
      </c>
      <c r="R9" s="44">
        <v>30</v>
      </c>
      <c r="S9" s="44">
        <v>30</v>
      </c>
      <c r="T9" s="44">
        <v>-25</v>
      </c>
      <c r="U9" s="44">
        <v>-30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-8</v>
      </c>
      <c r="K10" s="44">
        <v>-20</v>
      </c>
      <c r="L10" s="44">
        <v>-40</v>
      </c>
      <c r="M10" s="44">
        <v>-45</v>
      </c>
      <c r="N10" s="44">
        <v>-45</v>
      </c>
      <c r="O10" s="44">
        <v>-10</v>
      </c>
      <c r="P10" s="44">
        <v>-10</v>
      </c>
      <c r="Q10" s="44">
        <v>-45</v>
      </c>
      <c r="R10" s="44">
        <v>-45</v>
      </c>
      <c r="S10" s="44">
        <v>-45</v>
      </c>
      <c r="T10" s="44">
        <v>-25</v>
      </c>
      <c r="U10" s="44">
        <v>-30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10</v>
      </c>
      <c r="K11" s="44">
        <v>-5</v>
      </c>
      <c r="L11" s="44">
        <v>0</v>
      </c>
      <c r="M11" s="44">
        <v>0</v>
      </c>
      <c r="N11" s="44">
        <v>0</v>
      </c>
      <c r="O11" s="44">
        <v>0</v>
      </c>
      <c r="P11" s="44">
        <v>0</v>
      </c>
      <c r="Q11" s="44">
        <v>0</v>
      </c>
      <c r="R11" s="44">
        <v>0</v>
      </c>
      <c r="S11" s="44">
        <v>0</v>
      </c>
      <c r="T11" s="44">
        <v>30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10</v>
      </c>
      <c r="K12" s="50">
        <v>15</v>
      </c>
      <c r="L12" s="50">
        <v>25</v>
      </c>
      <c r="M12" s="50">
        <v>0</v>
      </c>
      <c r="N12" s="50">
        <v>0</v>
      </c>
      <c r="O12" s="50">
        <v>-20</v>
      </c>
      <c r="P12" s="50">
        <v>-20</v>
      </c>
      <c r="Q12" s="50">
        <v>0</v>
      </c>
      <c r="R12" s="50">
        <v>0</v>
      </c>
      <c r="S12" s="50">
        <v>0</v>
      </c>
      <c r="T12" s="50">
        <v>-5</v>
      </c>
      <c r="U12" s="50">
        <v>-10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-17</v>
      </c>
      <c r="K13" s="50">
        <v>-18</v>
      </c>
      <c r="L13" s="50">
        <v>-25</v>
      </c>
      <c r="M13" s="50">
        <v>-45</v>
      </c>
      <c r="N13" s="50">
        <v>-45</v>
      </c>
      <c r="O13" s="50">
        <v>0</v>
      </c>
      <c r="P13" s="50">
        <v>0</v>
      </c>
      <c r="Q13" s="50">
        <v>-45</v>
      </c>
      <c r="R13" s="50">
        <v>-45</v>
      </c>
      <c r="S13" s="50">
        <v>-45</v>
      </c>
      <c r="T13" s="50">
        <v>-35</v>
      </c>
      <c r="U13" s="50">
        <v>-25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-13</v>
      </c>
      <c r="K14" s="50">
        <v>-20</v>
      </c>
      <c r="L14" s="50">
        <v>0</v>
      </c>
      <c r="M14" s="50">
        <v>30</v>
      </c>
      <c r="N14" s="50">
        <v>30</v>
      </c>
      <c r="O14" s="50">
        <v>30</v>
      </c>
      <c r="P14" s="50">
        <v>30</v>
      </c>
      <c r="Q14" s="50">
        <v>30</v>
      </c>
      <c r="R14" s="50">
        <v>30</v>
      </c>
      <c r="S14" s="50">
        <v>30</v>
      </c>
      <c r="T14" s="50">
        <v>-35</v>
      </c>
      <c r="U14" s="50">
        <v>-25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-10</v>
      </c>
      <c r="K15" s="50">
        <v>-15</v>
      </c>
      <c r="L15" s="50">
        <v>-15</v>
      </c>
      <c r="M15" s="50">
        <v>5</v>
      </c>
      <c r="N15" s="50">
        <v>5</v>
      </c>
      <c r="O15" s="50">
        <v>5</v>
      </c>
      <c r="P15" s="50">
        <v>5</v>
      </c>
      <c r="Q15" s="50">
        <v>5</v>
      </c>
      <c r="R15" s="50">
        <v>5</v>
      </c>
      <c r="S15" s="50">
        <v>5</v>
      </c>
      <c r="T15" s="50">
        <v>-10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30</v>
      </c>
      <c r="K16" s="57">
        <v>45</v>
      </c>
      <c r="L16" s="57">
        <v>50</v>
      </c>
      <c r="M16" s="57">
        <v>100</v>
      </c>
      <c r="N16" s="57">
        <v>100</v>
      </c>
      <c r="O16" s="57">
        <v>100</v>
      </c>
      <c r="P16" s="57">
        <v>100</v>
      </c>
      <c r="Q16" s="57">
        <v>100</v>
      </c>
      <c r="R16" s="57">
        <v>50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-30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-150</v>
      </c>
      <c r="K21" s="50">
        <v>-40</v>
      </c>
      <c r="L21" s="50">
        <v>-30</v>
      </c>
      <c r="M21" s="50">
        <v>-60</v>
      </c>
      <c r="N21" s="50">
        <v>-120</v>
      </c>
      <c r="O21" s="50">
        <v>-120</v>
      </c>
      <c r="P21" s="50">
        <v>-150</v>
      </c>
      <c r="Q21" s="50">
        <v>-40</v>
      </c>
      <c r="R21" s="50">
        <v>0</v>
      </c>
      <c r="S21" s="50">
        <v>100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45</v>
      </c>
      <c r="K22" s="50">
        <v>20</v>
      </c>
      <c r="L22" s="50">
        <v>0</v>
      </c>
      <c r="M22" s="50">
        <v>100</v>
      </c>
      <c r="N22" s="50">
        <v>80</v>
      </c>
      <c r="O22" s="50">
        <v>80</v>
      </c>
      <c r="P22" s="50">
        <v>80</v>
      </c>
      <c r="Q22" s="50">
        <v>80</v>
      </c>
      <c r="R22" s="50">
        <v>80</v>
      </c>
      <c r="S22" s="50">
        <v>80</v>
      </c>
      <c r="T22" s="50">
        <v>15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-90</v>
      </c>
      <c r="N23" s="50">
        <v>-120</v>
      </c>
      <c r="O23" s="50">
        <v>-120</v>
      </c>
      <c r="P23" s="50">
        <v>-120</v>
      </c>
      <c r="Q23" s="50">
        <v>-90</v>
      </c>
      <c r="R23" s="50">
        <v>-80</v>
      </c>
      <c r="S23" s="50">
        <v>-80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-180</v>
      </c>
      <c r="K24" s="50">
        <v>-180</v>
      </c>
      <c r="L24" s="50">
        <v>-150</v>
      </c>
      <c r="M24" s="50">
        <v>-90</v>
      </c>
      <c r="N24" s="50">
        <v>-120</v>
      </c>
      <c r="O24" s="50">
        <v>-120</v>
      </c>
      <c r="P24" s="50">
        <v>-120</v>
      </c>
      <c r="Q24" s="50">
        <v>-90</v>
      </c>
      <c r="R24" s="50">
        <v>-80</v>
      </c>
      <c r="S24" s="50">
        <v>-80</v>
      </c>
      <c r="T24" s="50">
        <v>-180</v>
      </c>
      <c r="U24" s="50">
        <v>-180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-12</v>
      </c>
      <c r="K25" s="64">
        <f t="shared" si="3"/>
        <v>-18</v>
      </c>
      <c r="L25" s="64">
        <f t="shared" si="3"/>
        <v>10</v>
      </c>
      <c r="M25" s="64">
        <f t="shared" si="3"/>
        <v>30</v>
      </c>
      <c r="N25" s="64">
        <f t="shared" si="3"/>
        <v>30</v>
      </c>
      <c r="O25" s="64">
        <f t="shared" si="3"/>
        <v>10</v>
      </c>
      <c r="P25" s="64">
        <f t="shared" si="3"/>
        <v>10</v>
      </c>
      <c r="Q25" s="64">
        <f t="shared" si="3"/>
        <v>30</v>
      </c>
      <c r="R25" s="64">
        <f t="shared" si="3"/>
        <v>30</v>
      </c>
      <c r="S25" s="64">
        <f t="shared" si="3"/>
        <v>30</v>
      </c>
      <c r="T25" s="64">
        <f t="shared" si="3"/>
        <v>-25</v>
      </c>
      <c r="U25" s="64">
        <f t="shared" si="3"/>
        <v>-30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-8</v>
      </c>
      <c r="K26" s="64">
        <f t="shared" si="3"/>
        <v>-20</v>
      </c>
      <c r="L26" s="64">
        <f t="shared" si="3"/>
        <v>-40</v>
      </c>
      <c r="M26" s="64">
        <f t="shared" si="3"/>
        <v>-45</v>
      </c>
      <c r="N26" s="64">
        <f t="shared" si="3"/>
        <v>-45</v>
      </c>
      <c r="O26" s="64">
        <f t="shared" si="3"/>
        <v>-10</v>
      </c>
      <c r="P26" s="64">
        <f t="shared" si="3"/>
        <v>-10</v>
      </c>
      <c r="Q26" s="64">
        <f t="shared" si="3"/>
        <v>-45</v>
      </c>
      <c r="R26" s="64">
        <f t="shared" si="3"/>
        <v>-45</v>
      </c>
      <c r="S26" s="64">
        <f t="shared" si="3"/>
        <v>-45</v>
      </c>
      <c r="T26" s="64">
        <f t="shared" si="3"/>
        <v>-25</v>
      </c>
      <c r="U26" s="64">
        <f t="shared" si="3"/>
        <v>-30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-17</v>
      </c>
      <c r="K27" s="64">
        <f t="shared" si="5"/>
        <v>-18</v>
      </c>
      <c r="L27" s="64">
        <f t="shared" si="5"/>
        <v>-25</v>
      </c>
      <c r="M27" s="64">
        <f t="shared" si="5"/>
        <v>-45</v>
      </c>
      <c r="N27" s="64">
        <f t="shared" si="5"/>
        <v>-45</v>
      </c>
      <c r="O27" s="64">
        <f t="shared" si="5"/>
        <v>0</v>
      </c>
      <c r="P27" s="64">
        <f t="shared" si="5"/>
        <v>0</v>
      </c>
      <c r="Q27" s="64">
        <f t="shared" si="5"/>
        <v>-45</v>
      </c>
      <c r="R27" s="64">
        <f t="shared" si="5"/>
        <v>-45</v>
      </c>
      <c r="S27" s="64">
        <f t="shared" si="5"/>
        <v>-45</v>
      </c>
      <c r="T27" s="64">
        <f t="shared" si="5"/>
        <v>-35</v>
      </c>
      <c r="U27" s="64">
        <f t="shared" si="5"/>
        <v>-25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-13</v>
      </c>
      <c r="K28" s="64">
        <f t="shared" si="5"/>
        <v>-20</v>
      </c>
      <c r="L28" s="64">
        <f t="shared" si="5"/>
        <v>0</v>
      </c>
      <c r="M28" s="64">
        <f t="shared" si="5"/>
        <v>30</v>
      </c>
      <c r="N28" s="64">
        <f t="shared" si="5"/>
        <v>30</v>
      </c>
      <c r="O28" s="64">
        <f t="shared" si="5"/>
        <v>30</v>
      </c>
      <c r="P28" s="64">
        <f t="shared" si="5"/>
        <v>30</v>
      </c>
      <c r="Q28" s="64">
        <f t="shared" si="5"/>
        <v>30</v>
      </c>
      <c r="R28" s="64">
        <f t="shared" si="5"/>
        <v>30</v>
      </c>
      <c r="S28" s="64">
        <f t="shared" si="5"/>
        <v>30</v>
      </c>
      <c r="T28" s="64">
        <f t="shared" si="5"/>
        <v>-35</v>
      </c>
      <c r="U28" s="64">
        <f t="shared" si="5"/>
        <v>-25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0</v>
      </c>
      <c r="K29" s="64">
        <f t="shared" si="6"/>
        <v>0</v>
      </c>
      <c r="L29" s="64">
        <f t="shared" si="6"/>
        <v>0</v>
      </c>
      <c r="M29" s="64">
        <f t="shared" si="6"/>
        <v>0</v>
      </c>
      <c r="N29" s="64">
        <f t="shared" si="6"/>
        <v>0</v>
      </c>
      <c r="O29" s="64">
        <f t="shared" si="6"/>
        <v>0</v>
      </c>
      <c r="P29" s="64">
        <f t="shared" si="6"/>
        <v>0</v>
      </c>
      <c r="Q29" s="64">
        <f t="shared" si="6"/>
        <v>0</v>
      </c>
      <c r="R29" s="64">
        <f t="shared" si="6"/>
        <v>0</v>
      </c>
      <c r="S29" s="64">
        <f t="shared" si="6"/>
        <v>0</v>
      </c>
      <c r="T29" s="64">
        <f t="shared" si="6"/>
        <v>-30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45</v>
      </c>
      <c r="K30" s="64">
        <f t="shared" si="7"/>
        <v>20</v>
      </c>
      <c r="L30" s="64">
        <f t="shared" si="7"/>
        <v>0</v>
      </c>
      <c r="M30" s="64">
        <f t="shared" si="7"/>
        <v>100</v>
      </c>
      <c r="N30" s="64">
        <f t="shared" si="7"/>
        <v>80</v>
      </c>
      <c r="O30" s="64">
        <f t="shared" si="7"/>
        <v>80</v>
      </c>
      <c r="P30" s="64">
        <f t="shared" si="7"/>
        <v>80</v>
      </c>
      <c r="Q30" s="64">
        <f t="shared" si="7"/>
        <v>80</v>
      </c>
      <c r="R30" s="64">
        <f t="shared" si="7"/>
        <v>80</v>
      </c>
      <c r="S30" s="64">
        <f t="shared" si="7"/>
        <v>80</v>
      </c>
      <c r="T30" s="64">
        <f t="shared" si="7"/>
        <v>15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-10</v>
      </c>
      <c r="K35" s="74">
        <f t="shared" ref="K35:Z35" si="8">K8</f>
        <v>0</v>
      </c>
      <c r="L35" s="74">
        <f t="shared" si="8"/>
        <v>-20</v>
      </c>
      <c r="M35" s="74">
        <f t="shared" si="8"/>
        <v>-5</v>
      </c>
      <c r="N35" s="74">
        <f t="shared" si="8"/>
        <v>-5</v>
      </c>
      <c r="O35" s="74">
        <f t="shared" si="8"/>
        <v>15</v>
      </c>
      <c r="P35" s="74">
        <f t="shared" si="8"/>
        <v>15</v>
      </c>
      <c r="Q35" s="74">
        <f t="shared" si="8"/>
        <v>-5</v>
      </c>
      <c r="R35" s="74">
        <f t="shared" si="8"/>
        <v>-5</v>
      </c>
      <c r="S35" s="74">
        <f t="shared" si="8"/>
        <v>-5</v>
      </c>
      <c r="T35" s="74">
        <f t="shared" si="8"/>
        <v>-30</v>
      </c>
      <c r="U35" s="74">
        <f t="shared" si="8"/>
        <v>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-17</v>
      </c>
      <c r="K36" s="74">
        <f t="shared" ref="K36:Z36" si="9">K9-5</f>
        <v>-23</v>
      </c>
      <c r="L36" s="74">
        <f t="shared" si="9"/>
        <v>5</v>
      </c>
      <c r="M36" s="74">
        <f t="shared" si="9"/>
        <v>25</v>
      </c>
      <c r="N36" s="74">
        <f t="shared" si="9"/>
        <v>25</v>
      </c>
      <c r="O36" s="74">
        <f t="shared" si="9"/>
        <v>5</v>
      </c>
      <c r="P36" s="74">
        <f t="shared" si="9"/>
        <v>5</v>
      </c>
      <c r="Q36" s="74">
        <f t="shared" si="9"/>
        <v>25</v>
      </c>
      <c r="R36" s="74">
        <f t="shared" si="9"/>
        <v>25</v>
      </c>
      <c r="S36" s="74">
        <f t="shared" si="9"/>
        <v>25</v>
      </c>
      <c r="T36" s="74">
        <f t="shared" si="9"/>
        <v>-30</v>
      </c>
      <c r="U36" s="74">
        <f t="shared" si="9"/>
        <v>-35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-3</v>
      </c>
      <c r="K37" s="74">
        <f t="shared" ref="K37:Z37" si="10">K10+5</f>
        <v>-15</v>
      </c>
      <c r="L37" s="74">
        <f t="shared" si="10"/>
        <v>-35</v>
      </c>
      <c r="M37" s="74">
        <f t="shared" si="10"/>
        <v>-40</v>
      </c>
      <c r="N37" s="74">
        <f t="shared" si="10"/>
        <v>-40</v>
      </c>
      <c r="O37" s="74">
        <f t="shared" si="10"/>
        <v>-5</v>
      </c>
      <c r="P37" s="74">
        <f t="shared" si="10"/>
        <v>-5</v>
      </c>
      <c r="Q37" s="74">
        <f t="shared" si="10"/>
        <v>-40</v>
      </c>
      <c r="R37" s="74">
        <f t="shared" si="10"/>
        <v>-40</v>
      </c>
      <c r="S37" s="74">
        <f t="shared" si="10"/>
        <v>-40</v>
      </c>
      <c r="T37" s="74">
        <f t="shared" si="10"/>
        <v>-20</v>
      </c>
      <c r="U37" s="74">
        <f t="shared" si="10"/>
        <v>-25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Z42" si="11">J11</f>
        <v>10</v>
      </c>
      <c r="K38" s="74">
        <f t="shared" si="11"/>
        <v>-5</v>
      </c>
      <c r="L38" s="74">
        <f t="shared" si="11"/>
        <v>0</v>
      </c>
      <c r="M38" s="74">
        <f t="shared" si="11"/>
        <v>0</v>
      </c>
      <c r="N38" s="74">
        <f t="shared" si="11"/>
        <v>0</v>
      </c>
      <c r="O38" s="74">
        <f t="shared" si="11"/>
        <v>0</v>
      </c>
      <c r="P38" s="74">
        <f t="shared" si="11"/>
        <v>0</v>
      </c>
      <c r="Q38" s="74">
        <f t="shared" si="11"/>
        <v>0</v>
      </c>
      <c r="R38" s="74">
        <f t="shared" si="11"/>
        <v>0</v>
      </c>
      <c r="S38" s="74">
        <f t="shared" si="11"/>
        <v>0</v>
      </c>
      <c r="T38" s="74">
        <f t="shared" si="11"/>
        <v>30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si="11"/>
        <v>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10</v>
      </c>
      <c r="K39" s="74">
        <f t="shared" si="11"/>
        <v>15</v>
      </c>
      <c r="L39" s="74">
        <f t="shared" si="11"/>
        <v>25</v>
      </c>
      <c r="M39" s="74">
        <f t="shared" si="11"/>
        <v>0</v>
      </c>
      <c r="N39" s="74">
        <f t="shared" si="11"/>
        <v>0</v>
      </c>
      <c r="O39" s="74">
        <f t="shared" si="11"/>
        <v>-20</v>
      </c>
      <c r="P39" s="74">
        <f t="shared" si="11"/>
        <v>-20</v>
      </c>
      <c r="Q39" s="74">
        <f t="shared" si="11"/>
        <v>0</v>
      </c>
      <c r="R39" s="74">
        <f t="shared" si="11"/>
        <v>0</v>
      </c>
      <c r="S39" s="74">
        <f t="shared" si="11"/>
        <v>0</v>
      </c>
      <c r="T39" s="74">
        <f t="shared" si="11"/>
        <v>-5</v>
      </c>
      <c r="U39" s="74">
        <f t="shared" si="11"/>
        <v>-10</v>
      </c>
      <c r="V39" s="74">
        <f t="shared" si="11"/>
        <v>0</v>
      </c>
      <c r="W39" s="74">
        <f t="shared" si="11"/>
        <v>0</v>
      </c>
      <c r="X39" s="74">
        <f t="shared" si="11"/>
        <v>0</v>
      </c>
      <c r="Y39" s="74">
        <f t="shared" si="11"/>
        <v>0</v>
      </c>
      <c r="Z39" s="74">
        <f t="shared" si="11"/>
        <v>0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-22</v>
      </c>
      <c r="K40" s="74">
        <f t="shared" ref="K40:Z40" si="12">K13-5</f>
        <v>-23</v>
      </c>
      <c r="L40" s="74">
        <f t="shared" si="12"/>
        <v>-30</v>
      </c>
      <c r="M40" s="74">
        <f t="shared" si="12"/>
        <v>-50</v>
      </c>
      <c r="N40" s="74">
        <f t="shared" si="12"/>
        <v>-50</v>
      </c>
      <c r="O40" s="74">
        <f t="shared" si="12"/>
        <v>-5</v>
      </c>
      <c r="P40" s="74">
        <f t="shared" si="12"/>
        <v>-5</v>
      </c>
      <c r="Q40" s="74">
        <f t="shared" si="12"/>
        <v>-50</v>
      </c>
      <c r="R40" s="74">
        <f t="shared" si="12"/>
        <v>-50</v>
      </c>
      <c r="S40" s="74">
        <f t="shared" si="12"/>
        <v>-50</v>
      </c>
      <c r="T40" s="74">
        <f t="shared" si="12"/>
        <v>-40</v>
      </c>
      <c r="U40" s="74">
        <f t="shared" si="12"/>
        <v>-30</v>
      </c>
      <c r="V40" s="74">
        <f t="shared" si="12"/>
        <v>-5</v>
      </c>
      <c r="W40" s="74">
        <f t="shared" si="12"/>
        <v>-5</v>
      </c>
      <c r="X40" s="74">
        <f t="shared" si="12"/>
        <v>-5</v>
      </c>
      <c r="Y40" s="74">
        <f t="shared" si="12"/>
        <v>-5</v>
      </c>
      <c r="Z40" s="74">
        <f t="shared" si="12"/>
        <v>-5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-8</v>
      </c>
      <c r="K41" s="74">
        <f t="shared" ref="K41:Z41" si="13">K14+5</f>
        <v>-15</v>
      </c>
      <c r="L41" s="74">
        <f t="shared" si="13"/>
        <v>5</v>
      </c>
      <c r="M41" s="74">
        <f t="shared" si="13"/>
        <v>35</v>
      </c>
      <c r="N41" s="74">
        <f t="shared" si="13"/>
        <v>35</v>
      </c>
      <c r="O41" s="74">
        <f t="shared" si="13"/>
        <v>35</v>
      </c>
      <c r="P41" s="74">
        <f t="shared" si="13"/>
        <v>35</v>
      </c>
      <c r="Q41" s="74">
        <f t="shared" si="13"/>
        <v>35</v>
      </c>
      <c r="R41" s="74">
        <f t="shared" si="13"/>
        <v>35</v>
      </c>
      <c r="S41" s="74">
        <f t="shared" si="13"/>
        <v>35</v>
      </c>
      <c r="T41" s="74">
        <f t="shared" si="13"/>
        <v>-30</v>
      </c>
      <c r="U41" s="74">
        <f t="shared" si="13"/>
        <v>-20</v>
      </c>
      <c r="V41" s="74">
        <f t="shared" si="13"/>
        <v>5</v>
      </c>
      <c r="W41" s="74">
        <f t="shared" si="13"/>
        <v>5</v>
      </c>
      <c r="X41" s="74">
        <f t="shared" si="13"/>
        <v>5</v>
      </c>
      <c r="Y41" s="74">
        <f t="shared" si="13"/>
        <v>5</v>
      </c>
      <c r="Z41" s="74">
        <f t="shared" si="13"/>
        <v>5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-10</v>
      </c>
      <c r="K42" s="74">
        <f t="shared" si="11"/>
        <v>-15</v>
      </c>
      <c r="L42" s="74">
        <f t="shared" si="11"/>
        <v>-15</v>
      </c>
      <c r="M42" s="74">
        <f t="shared" si="11"/>
        <v>5</v>
      </c>
      <c r="N42" s="74">
        <f t="shared" si="11"/>
        <v>5</v>
      </c>
      <c r="O42" s="74">
        <f t="shared" si="11"/>
        <v>5</v>
      </c>
      <c r="P42" s="74">
        <f t="shared" si="11"/>
        <v>5</v>
      </c>
      <c r="Q42" s="74">
        <f t="shared" si="11"/>
        <v>5</v>
      </c>
      <c r="R42" s="74">
        <f t="shared" si="11"/>
        <v>5</v>
      </c>
      <c r="S42" s="74">
        <f t="shared" si="11"/>
        <v>5</v>
      </c>
      <c r="T42" s="74">
        <f t="shared" si="11"/>
        <v>-10</v>
      </c>
      <c r="U42" s="74">
        <f t="shared" si="11"/>
        <v>0</v>
      </c>
      <c r="V42" s="74">
        <f t="shared" si="11"/>
        <v>0</v>
      </c>
      <c r="W42" s="74">
        <f t="shared" si="11"/>
        <v>0</v>
      </c>
      <c r="X42" s="74">
        <f t="shared" si="11"/>
        <v>0</v>
      </c>
      <c r="Y42" s="74">
        <f t="shared" si="11"/>
        <v>0</v>
      </c>
      <c r="Z42" s="74">
        <f t="shared" si="11"/>
        <v>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8"/>
  <dimension ref="A1:AB57"/>
  <sheetViews>
    <sheetView topLeftCell="B1" workbookViewId="0">
      <selection activeCell="E4" sqref="E4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5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202</v>
      </c>
      <c r="L4" s="68">
        <f t="shared" si="0"/>
        <v>252</v>
      </c>
      <c r="M4" s="68">
        <f t="shared" si="0"/>
        <v>302</v>
      </c>
      <c r="N4" s="68">
        <f t="shared" si="0"/>
        <v>352</v>
      </c>
      <c r="O4" s="68">
        <f t="shared" si="0"/>
        <v>442</v>
      </c>
      <c r="P4" s="68">
        <f t="shared" si="0"/>
        <v>492</v>
      </c>
      <c r="Q4" s="68">
        <f t="shared" si="0"/>
        <v>542</v>
      </c>
      <c r="R4" s="68">
        <f t="shared" si="0"/>
        <v>622</v>
      </c>
      <c r="S4" s="68">
        <f t="shared" si="0"/>
        <v>722</v>
      </c>
      <c r="T4" s="68">
        <f t="shared" si="0"/>
        <v>822</v>
      </c>
      <c r="U4" s="68">
        <f t="shared" si="0"/>
        <v>922</v>
      </c>
      <c r="V4" s="68">
        <f t="shared" si="0"/>
        <v>1022</v>
      </c>
      <c r="W4" s="68">
        <f t="shared" si="0"/>
        <v>1122</v>
      </c>
      <c r="X4" s="68">
        <f t="shared" si="0"/>
        <v>1222</v>
      </c>
      <c r="Y4" s="68">
        <f t="shared" si="0"/>
        <v>1322</v>
      </c>
      <c r="Z4" s="68">
        <f t="shared" si="0"/>
        <v>1422</v>
      </c>
      <c r="AA4" s="68">
        <f t="shared" si="0"/>
        <v>1522</v>
      </c>
      <c r="AB4" s="68">
        <f t="shared" si="0"/>
        <v>1622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100</v>
      </c>
      <c r="K5" s="69">
        <v>50</v>
      </c>
      <c r="L5" s="69">
        <v>50</v>
      </c>
      <c r="M5" s="69">
        <v>50</v>
      </c>
      <c r="N5" s="69">
        <v>20</v>
      </c>
      <c r="O5" s="69">
        <v>50</v>
      </c>
      <c r="P5" s="69">
        <v>50</v>
      </c>
      <c r="Q5" s="69">
        <v>80</v>
      </c>
      <c r="R5" s="69">
        <v>100</v>
      </c>
      <c r="S5" s="69">
        <v>100</v>
      </c>
      <c r="T5" s="69">
        <v>100</v>
      </c>
      <c r="U5" s="69">
        <v>100</v>
      </c>
      <c r="V5" s="69">
        <v>100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70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2</v>
      </c>
      <c r="R7" s="39">
        <v>0</v>
      </c>
      <c r="S7" s="39">
        <v>0</v>
      </c>
      <c r="T7" s="39">
        <v>2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10</v>
      </c>
      <c r="K8" s="44">
        <v>10</v>
      </c>
      <c r="L8" s="44">
        <v>-10</v>
      </c>
      <c r="M8" s="44">
        <v>-30</v>
      </c>
      <c r="N8" s="44">
        <v>-30</v>
      </c>
      <c r="O8" s="44">
        <v>10</v>
      </c>
      <c r="P8" s="44">
        <v>5</v>
      </c>
      <c r="Q8" s="44">
        <v>0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-45</v>
      </c>
      <c r="K9" s="44">
        <v>-45</v>
      </c>
      <c r="L9" s="44">
        <v>-45</v>
      </c>
      <c r="M9" s="44">
        <v>-45</v>
      </c>
      <c r="N9" s="44">
        <v>-45</v>
      </c>
      <c r="O9" s="44">
        <v>-45</v>
      </c>
      <c r="P9" s="44">
        <v>-25</v>
      </c>
      <c r="Q9" s="44">
        <v>0</v>
      </c>
      <c r="R9" s="44">
        <v>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-40</v>
      </c>
      <c r="K10" s="44">
        <v>-40</v>
      </c>
      <c r="L10" s="44">
        <v>-40</v>
      </c>
      <c r="M10" s="44">
        <v>-40</v>
      </c>
      <c r="N10" s="44">
        <v>-40</v>
      </c>
      <c r="O10" s="44">
        <v>-40</v>
      </c>
      <c r="P10" s="44">
        <v>-25</v>
      </c>
      <c r="Q10" s="44">
        <v>0</v>
      </c>
      <c r="R10" s="44">
        <v>0</v>
      </c>
      <c r="S10" s="44">
        <v>0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-10</v>
      </c>
      <c r="K11" s="44">
        <v>-10</v>
      </c>
      <c r="L11" s="44">
        <v>10</v>
      </c>
      <c r="M11" s="44">
        <v>30</v>
      </c>
      <c r="N11" s="44">
        <v>30</v>
      </c>
      <c r="O11" s="44">
        <v>-10</v>
      </c>
      <c r="P11" s="44">
        <v>-5</v>
      </c>
      <c r="Q11" s="44">
        <v>0</v>
      </c>
      <c r="R11" s="44">
        <v>0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10</v>
      </c>
      <c r="K12" s="50">
        <v>10</v>
      </c>
      <c r="L12" s="50">
        <v>-10</v>
      </c>
      <c r="M12" s="50">
        <v>-30</v>
      </c>
      <c r="N12" s="50">
        <v>-30</v>
      </c>
      <c r="O12" s="50">
        <v>10</v>
      </c>
      <c r="P12" s="50">
        <v>5</v>
      </c>
      <c r="Q12" s="50">
        <v>0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-45</v>
      </c>
      <c r="K13" s="50">
        <v>-45</v>
      </c>
      <c r="L13" s="50">
        <v>-45</v>
      </c>
      <c r="M13" s="50">
        <v>-45</v>
      </c>
      <c r="N13" s="50">
        <v>-45</v>
      </c>
      <c r="O13" s="50">
        <v>-45</v>
      </c>
      <c r="P13" s="50">
        <v>-25</v>
      </c>
      <c r="Q13" s="50">
        <v>0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-40</v>
      </c>
      <c r="K14" s="50">
        <v>-40</v>
      </c>
      <c r="L14" s="50">
        <v>-40</v>
      </c>
      <c r="M14" s="50">
        <v>-40</v>
      </c>
      <c r="N14" s="50">
        <v>-40</v>
      </c>
      <c r="O14" s="50">
        <v>-40</v>
      </c>
      <c r="P14" s="50">
        <v>-25</v>
      </c>
      <c r="Q14" s="50">
        <v>0</v>
      </c>
      <c r="R14" s="50">
        <v>0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-10</v>
      </c>
      <c r="K15" s="50">
        <v>-10</v>
      </c>
      <c r="L15" s="50">
        <v>10</v>
      </c>
      <c r="M15" s="50">
        <v>30</v>
      </c>
      <c r="N15" s="50">
        <v>30</v>
      </c>
      <c r="O15" s="50">
        <v>-10</v>
      </c>
      <c r="P15" s="50">
        <v>-5</v>
      </c>
      <c r="Q15" s="50">
        <v>0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0</v>
      </c>
      <c r="K16" s="57">
        <v>0</v>
      </c>
      <c r="L16" s="57">
        <v>0</v>
      </c>
      <c r="M16" s="57">
        <v>0</v>
      </c>
      <c r="N16" s="57">
        <v>0</v>
      </c>
      <c r="O16" s="57">
        <v>0</v>
      </c>
      <c r="P16" s="57">
        <v>0</v>
      </c>
      <c r="Q16" s="57">
        <v>0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30</v>
      </c>
      <c r="K17" s="44">
        <v>-120</v>
      </c>
      <c r="L17" s="44">
        <v>-130</v>
      </c>
      <c r="M17" s="44">
        <v>-100</v>
      </c>
      <c r="N17" s="44">
        <v>-60</v>
      </c>
      <c r="O17" s="44">
        <v>-70</v>
      </c>
      <c r="P17" s="44">
        <v>-50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90</v>
      </c>
      <c r="K18" s="44">
        <v>100</v>
      </c>
      <c r="L18" s="44">
        <v>80</v>
      </c>
      <c r="M18" s="44">
        <v>-10</v>
      </c>
      <c r="N18" s="44">
        <v>-10</v>
      </c>
      <c r="O18" s="44">
        <v>30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-150</v>
      </c>
      <c r="L19" s="44">
        <v>-270</v>
      </c>
      <c r="M19" s="44">
        <v>-250</v>
      </c>
      <c r="N19" s="44">
        <v>-150</v>
      </c>
      <c r="O19" s="44">
        <v>-150</v>
      </c>
      <c r="P19" s="44">
        <v>-45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-150</v>
      </c>
      <c r="L20" s="44">
        <v>-270</v>
      </c>
      <c r="M20" s="44">
        <v>-250</v>
      </c>
      <c r="N20" s="44">
        <v>-150</v>
      </c>
      <c r="O20" s="44">
        <v>-150</v>
      </c>
      <c r="P20" s="44">
        <v>-45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30</v>
      </c>
      <c r="K21" s="50">
        <v>-120</v>
      </c>
      <c r="L21" s="50">
        <v>-130</v>
      </c>
      <c r="M21" s="50">
        <v>-100</v>
      </c>
      <c r="N21" s="50">
        <v>-60</v>
      </c>
      <c r="O21" s="50">
        <v>-70</v>
      </c>
      <c r="P21" s="50">
        <v>-50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90</v>
      </c>
      <c r="K22" s="50">
        <v>100</v>
      </c>
      <c r="L22" s="50">
        <v>80</v>
      </c>
      <c r="M22" s="50">
        <v>-10</v>
      </c>
      <c r="N22" s="50">
        <v>-10</v>
      </c>
      <c r="O22" s="50">
        <v>30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-150</v>
      </c>
      <c r="L23" s="50">
        <v>-270</v>
      </c>
      <c r="M23" s="50">
        <v>-250</v>
      </c>
      <c r="N23" s="50">
        <v>-150</v>
      </c>
      <c r="O23" s="50">
        <v>-150</v>
      </c>
      <c r="P23" s="50">
        <v>-45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-150</v>
      </c>
      <c r="L24" s="50">
        <v>-270</v>
      </c>
      <c r="M24" s="50">
        <v>-250</v>
      </c>
      <c r="N24" s="50">
        <v>-150</v>
      </c>
      <c r="O24" s="50">
        <v>-150</v>
      </c>
      <c r="P24" s="50">
        <v>-45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-45</v>
      </c>
      <c r="K25" s="64">
        <f t="shared" si="3"/>
        <v>-45</v>
      </c>
      <c r="L25" s="64">
        <f t="shared" si="3"/>
        <v>-45</v>
      </c>
      <c r="M25" s="64">
        <f t="shared" si="3"/>
        <v>-45</v>
      </c>
      <c r="N25" s="64">
        <f t="shared" si="3"/>
        <v>-45</v>
      </c>
      <c r="O25" s="64">
        <f t="shared" si="3"/>
        <v>-45</v>
      </c>
      <c r="P25" s="64">
        <f t="shared" si="3"/>
        <v>-25</v>
      </c>
      <c r="Q25" s="64">
        <f t="shared" si="3"/>
        <v>0</v>
      </c>
      <c r="R25" s="64">
        <f t="shared" si="3"/>
        <v>0</v>
      </c>
      <c r="S25" s="64">
        <f t="shared" si="3"/>
        <v>0</v>
      </c>
      <c r="T25" s="64">
        <f t="shared" si="3"/>
        <v>0</v>
      </c>
      <c r="U25" s="64">
        <f t="shared" si="3"/>
        <v>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-40</v>
      </c>
      <c r="K26" s="64">
        <f t="shared" si="3"/>
        <v>-40</v>
      </c>
      <c r="L26" s="64">
        <f t="shared" si="3"/>
        <v>-40</v>
      </c>
      <c r="M26" s="64">
        <f t="shared" si="3"/>
        <v>-40</v>
      </c>
      <c r="N26" s="64">
        <f t="shared" si="3"/>
        <v>-40</v>
      </c>
      <c r="O26" s="64">
        <f t="shared" si="3"/>
        <v>-40</v>
      </c>
      <c r="P26" s="64">
        <f t="shared" si="3"/>
        <v>-25</v>
      </c>
      <c r="Q26" s="64">
        <f t="shared" si="3"/>
        <v>0</v>
      </c>
      <c r="R26" s="64">
        <f t="shared" si="3"/>
        <v>0</v>
      </c>
      <c r="S26" s="64">
        <f t="shared" si="3"/>
        <v>0</v>
      </c>
      <c r="T26" s="64">
        <f t="shared" si="3"/>
        <v>0</v>
      </c>
      <c r="U26" s="64">
        <f t="shared" si="3"/>
        <v>0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-45</v>
      </c>
      <c r="K27" s="64">
        <f t="shared" si="5"/>
        <v>-45</v>
      </c>
      <c r="L27" s="64">
        <f t="shared" si="5"/>
        <v>-45</v>
      </c>
      <c r="M27" s="64">
        <f t="shared" si="5"/>
        <v>-45</v>
      </c>
      <c r="N27" s="64">
        <f t="shared" si="5"/>
        <v>-45</v>
      </c>
      <c r="O27" s="64">
        <f t="shared" si="5"/>
        <v>-45</v>
      </c>
      <c r="P27" s="64">
        <f t="shared" si="5"/>
        <v>-25</v>
      </c>
      <c r="Q27" s="64">
        <f t="shared" si="5"/>
        <v>0</v>
      </c>
      <c r="R27" s="64">
        <f t="shared" si="5"/>
        <v>0</v>
      </c>
      <c r="S27" s="64">
        <f t="shared" si="5"/>
        <v>0</v>
      </c>
      <c r="T27" s="64">
        <f t="shared" si="5"/>
        <v>0</v>
      </c>
      <c r="U27" s="64">
        <f t="shared" si="5"/>
        <v>0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-40</v>
      </c>
      <c r="K28" s="64">
        <f t="shared" si="5"/>
        <v>-40</v>
      </c>
      <c r="L28" s="64">
        <f t="shared" si="5"/>
        <v>-40</v>
      </c>
      <c r="M28" s="64">
        <f t="shared" si="5"/>
        <v>-40</v>
      </c>
      <c r="N28" s="64">
        <f t="shared" si="5"/>
        <v>-40</v>
      </c>
      <c r="O28" s="64">
        <f t="shared" si="5"/>
        <v>-40</v>
      </c>
      <c r="P28" s="64">
        <f t="shared" si="5"/>
        <v>-25</v>
      </c>
      <c r="Q28" s="64">
        <f t="shared" si="5"/>
        <v>0</v>
      </c>
      <c r="R28" s="64">
        <f t="shared" si="5"/>
        <v>0</v>
      </c>
      <c r="S28" s="64">
        <f t="shared" si="5"/>
        <v>0</v>
      </c>
      <c r="T28" s="64">
        <f t="shared" si="5"/>
        <v>0</v>
      </c>
      <c r="U28" s="64">
        <f t="shared" si="5"/>
        <v>0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90</v>
      </c>
      <c r="K29" s="64">
        <f t="shared" si="6"/>
        <v>100</v>
      </c>
      <c r="L29" s="64">
        <f t="shared" si="6"/>
        <v>80</v>
      </c>
      <c r="M29" s="64">
        <f t="shared" si="6"/>
        <v>-10</v>
      </c>
      <c r="N29" s="64">
        <f t="shared" si="6"/>
        <v>-10</v>
      </c>
      <c r="O29" s="64">
        <f t="shared" si="6"/>
        <v>30</v>
      </c>
      <c r="P29" s="64">
        <f t="shared" si="6"/>
        <v>0</v>
      </c>
      <c r="Q29" s="64">
        <f t="shared" si="6"/>
        <v>0</v>
      </c>
      <c r="R29" s="64">
        <f t="shared" si="6"/>
        <v>0</v>
      </c>
      <c r="S29" s="64">
        <f t="shared" si="6"/>
        <v>0</v>
      </c>
      <c r="T29" s="64">
        <f t="shared" si="6"/>
        <v>0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90</v>
      </c>
      <c r="K30" s="64">
        <f t="shared" si="7"/>
        <v>100</v>
      </c>
      <c r="L30" s="64">
        <f t="shared" si="7"/>
        <v>80</v>
      </c>
      <c r="M30" s="64">
        <f t="shared" si="7"/>
        <v>-10</v>
      </c>
      <c r="N30" s="64">
        <f t="shared" si="7"/>
        <v>-10</v>
      </c>
      <c r="O30" s="64">
        <f t="shared" si="7"/>
        <v>30</v>
      </c>
      <c r="P30" s="64">
        <f t="shared" si="7"/>
        <v>0</v>
      </c>
      <c r="Q30" s="64">
        <f t="shared" si="7"/>
        <v>0</v>
      </c>
      <c r="R30" s="64">
        <f t="shared" si="7"/>
        <v>0</v>
      </c>
      <c r="S30" s="64">
        <f t="shared" si="7"/>
        <v>0</v>
      </c>
      <c r="T30" s="64">
        <f t="shared" si="7"/>
        <v>0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10</v>
      </c>
      <c r="K35" s="74">
        <f t="shared" ref="K35:Z35" si="8">K8</f>
        <v>10</v>
      </c>
      <c r="L35" s="74">
        <f t="shared" si="8"/>
        <v>-10</v>
      </c>
      <c r="M35" s="74">
        <f t="shared" si="8"/>
        <v>-30</v>
      </c>
      <c r="N35" s="74">
        <f t="shared" si="8"/>
        <v>-30</v>
      </c>
      <c r="O35" s="74">
        <f t="shared" si="8"/>
        <v>10</v>
      </c>
      <c r="P35" s="74">
        <f t="shared" si="8"/>
        <v>5</v>
      </c>
      <c r="Q35" s="74">
        <f t="shared" si="8"/>
        <v>0</v>
      </c>
      <c r="R35" s="74">
        <f t="shared" si="8"/>
        <v>0</v>
      </c>
      <c r="S35" s="74">
        <f t="shared" si="8"/>
        <v>0</v>
      </c>
      <c r="T35" s="74">
        <f t="shared" si="8"/>
        <v>0</v>
      </c>
      <c r="U35" s="74">
        <f t="shared" si="8"/>
        <v>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-50</v>
      </c>
      <c r="K36" s="74">
        <f t="shared" ref="K36:Z36" si="9">K9-5</f>
        <v>-50</v>
      </c>
      <c r="L36" s="74">
        <f t="shared" si="9"/>
        <v>-50</v>
      </c>
      <c r="M36" s="74">
        <f t="shared" si="9"/>
        <v>-50</v>
      </c>
      <c r="N36" s="74">
        <f t="shared" si="9"/>
        <v>-50</v>
      </c>
      <c r="O36" s="74">
        <f t="shared" si="9"/>
        <v>-50</v>
      </c>
      <c r="P36" s="74">
        <f t="shared" si="9"/>
        <v>-30</v>
      </c>
      <c r="Q36" s="74">
        <f t="shared" si="9"/>
        <v>-5</v>
      </c>
      <c r="R36" s="74">
        <f t="shared" si="9"/>
        <v>-5</v>
      </c>
      <c r="S36" s="74">
        <f t="shared" si="9"/>
        <v>-5</v>
      </c>
      <c r="T36" s="74">
        <f t="shared" si="9"/>
        <v>-5</v>
      </c>
      <c r="U36" s="74">
        <f t="shared" si="9"/>
        <v>-5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-35</v>
      </c>
      <c r="K37" s="74">
        <f t="shared" ref="K37:Z37" si="10">K10+5</f>
        <v>-35</v>
      </c>
      <c r="L37" s="74">
        <f t="shared" si="10"/>
        <v>-35</v>
      </c>
      <c r="M37" s="74">
        <f t="shared" si="10"/>
        <v>-35</v>
      </c>
      <c r="N37" s="74">
        <f t="shared" si="10"/>
        <v>-35</v>
      </c>
      <c r="O37" s="74">
        <f t="shared" si="10"/>
        <v>-35</v>
      </c>
      <c r="P37" s="74">
        <f t="shared" si="10"/>
        <v>-20</v>
      </c>
      <c r="Q37" s="74">
        <f t="shared" si="10"/>
        <v>5</v>
      </c>
      <c r="R37" s="74">
        <f t="shared" si="10"/>
        <v>5</v>
      </c>
      <c r="S37" s="74">
        <f t="shared" si="10"/>
        <v>5</v>
      </c>
      <c r="T37" s="74">
        <f t="shared" si="10"/>
        <v>5</v>
      </c>
      <c r="U37" s="74">
        <f t="shared" si="10"/>
        <v>5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Z42" si="11">J11</f>
        <v>-10</v>
      </c>
      <c r="K38" s="74">
        <f t="shared" si="11"/>
        <v>-10</v>
      </c>
      <c r="L38" s="74">
        <f t="shared" si="11"/>
        <v>10</v>
      </c>
      <c r="M38" s="74">
        <f t="shared" si="11"/>
        <v>30</v>
      </c>
      <c r="N38" s="74">
        <f t="shared" si="11"/>
        <v>30</v>
      </c>
      <c r="O38" s="74">
        <f t="shared" si="11"/>
        <v>-10</v>
      </c>
      <c r="P38" s="74">
        <f t="shared" si="11"/>
        <v>-5</v>
      </c>
      <c r="Q38" s="74">
        <f t="shared" si="11"/>
        <v>0</v>
      </c>
      <c r="R38" s="74">
        <f t="shared" si="11"/>
        <v>0</v>
      </c>
      <c r="S38" s="74">
        <f t="shared" si="11"/>
        <v>0</v>
      </c>
      <c r="T38" s="74">
        <f t="shared" si="11"/>
        <v>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si="11"/>
        <v>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10</v>
      </c>
      <c r="K39" s="74">
        <f t="shared" si="11"/>
        <v>10</v>
      </c>
      <c r="L39" s="74">
        <f t="shared" si="11"/>
        <v>-10</v>
      </c>
      <c r="M39" s="74">
        <f t="shared" si="11"/>
        <v>-30</v>
      </c>
      <c r="N39" s="74">
        <f t="shared" si="11"/>
        <v>-30</v>
      </c>
      <c r="O39" s="74">
        <f t="shared" si="11"/>
        <v>10</v>
      </c>
      <c r="P39" s="74">
        <f t="shared" si="11"/>
        <v>5</v>
      </c>
      <c r="Q39" s="74">
        <f t="shared" si="11"/>
        <v>0</v>
      </c>
      <c r="R39" s="74">
        <f t="shared" si="11"/>
        <v>0</v>
      </c>
      <c r="S39" s="74">
        <f t="shared" si="11"/>
        <v>0</v>
      </c>
      <c r="T39" s="74">
        <f t="shared" si="11"/>
        <v>0</v>
      </c>
      <c r="U39" s="74">
        <f t="shared" si="11"/>
        <v>0</v>
      </c>
      <c r="V39" s="74">
        <f t="shared" si="11"/>
        <v>0</v>
      </c>
      <c r="W39" s="74">
        <f t="shared" si="11"/>
        <v>0</v>
      </c>
      <c r="X39" s="74">
        <f t="shared" si="11"/>
        <v>0</v>
      </c>
      <c r="Y39" s="74">
        <f t="shared" si="11"/>
        <v>0</v>
      </c>
      <c r="Z39" s="74">
        <f t="shared" si="11"/>
        <v>0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-50</v>
      </c>
      <c r="K40" s="74">
        <f t="shared" ref="K40:Z40" si="12">K13-5</f>
        <v>-50</v>
      </c>
      <c r="L40" s="74">
        <f t="shared" si="12"/>
        <v>-50</v>
      </c>
      <c r="M40" s="74">
        <f t="shared" si="12"/>
        <v>-50</v>
      </c>
      <c r="N40" s="74">
        <f t="shared" si="12"/>
        <v>-50</v>
      </c>
      <c r="O40" s="74">
        <f t="shared" si="12"/>
        <v>-50</v>
      </c>
      <c r="P40" s="74">
        <f t="shared" si="12"/>
        <v>-30</v>
      </c>
      <c r="Q40" s="74">
        <f t="shared" si="12"/>
        <v>-5</v>
      </c>
      <c r="R40" s="74">
        <f t="shared" si="12"/>
        <v>-5</v>
      </c>
      <c r="S40" s="74">
        <f t="shared" si="12"/>
        <v>-5</v>
      </c>
      <c r="T40" s="74">
        <f t="shared" si="12"/>
        <v>-5</v>
      </c>
      <c r="U40" s="74">
        <f t="shared" si="12"/>
        <v>-5</v>
      </c>
      <c r="V40" s="74">
        <f t="shared" si="12"/>
        <v>-5</v>
      </c>
      <c r="W40" s="74">
        <f t="shared" si="12"/>
        <v>-5</v>
      </c>
      <c r="X40" s="74">
        <f t="shared" si="12"/>
        <v>-5</v>
      </c>
      <c r="Y40" s="74">
        <f t="shared" si="12"/>
        <v>-5</v>
      </c>
      <c r="Z40" s="74">
        <f t="shared" si="12"/>
        <v>-5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-35</v>
      </c>
      <c r="K41" s="74">
        <f t="shared" ref="K41:Z41" si="13">K14+5</f>
        <v>-35</v>
      </c>
      <c r="L41" s="74">
        <f t="shared" si="13"/>
        <v>-35</v>
      </c>
      <c r="M41" s="74">
        <f t="shared" si="13"/>
        <v>-35</v>
      </c>
      <c r="N41" s="74">
        <f t="shared" si="13"/>
        <v>-35</v>
      </c>
      <c r="O41" s="74">
        <f t="shared" si="13"/>
        <v>-35</v>
      </c>
      <c r="P41" s="74">
        <f t="shared" si="13"/>
        <v>-20</v>
      </c>
      <c r="Q41" s="74">
        <f t="shared" si="13"/>
        <v>5</v>
      </c>
      <c r="R41" s="74">
        <f t="shared" si="13"/>
        <v>5</v>
      </c>
      <c r="S41" s="74">
        <f t="shared" si="13"/>
        <v>5</v>
      </c>
      <c r="T41" s="74">
        <f t="shared" si="13"/>
        <v>5</v>
      </c>
      <c r="U41" s="74">
        <f t="shared" si="13"/>
        <v>5</v>
      </c>
      <c r="V41" s="74">
        <f t="shared" si="13"/>
        <v>5</v>
      </c>
      <c r="W41" s="74">
        <f t="shared" si="13"/>
        <v>5</v>
      </c>
      <c r="X41" s="74">
        <f t="shared" si="13"/>
        <v>5</v>
      </c>
      <c r="Y41" s="74">
        <f t="shared" si="13"/>
        <v>5</v>
      </c>
      <c r="Z41" s="74">
        <f t="shared" si="13"/>
        <v>5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-10</v>
      </c>
      <c r="K42" s="74">
        <f t="shared" si="11"/>
        <v>-10</v>
      </c>
      <c r="L42" s="74">
        <f t="shared" si="11"/>
        <v>10</v>
      </c>
      <c r="M42" s="74">
        <f t="shared" si="11"/>
        <v>30</v>
      </c>
      <c r="N42" s="74">
        <f t="shared" si="11"/>
        <v>30</v>
      </c>
      <c r="O42" s="74">
        <f t="shared" si="11"/>
        <v>-10</v>
      </c>
      <c r="P42" s="74">
        <f t="shared" si="11"/>
        <v>-5</v>
      </c>
      <c r="Q42" s="74">
        <f t="shared" si="11"/>
        <v>0</v>
      </c>
      <c r="R42" s="74">
        <f t="shared" si="11"/>
        <v>0</v>
      </c>
      <c r="S42" s="74">
        <f t="shared" si="11"/>
        <v>0</v>
      </c>
      <c r="T42" s="74">
        <f t="shared" si="11"/>
        <v>0</v>
      </c>
      <c r="U42" s="74">
        <f t="shared" si="11"/>
        <v>0</v>
      </c>
      <c r="V42" s="74">
        <f t="shared" si="11"/>
        <v>0</v>
      </c>
      <c r="W42" s="74">
        <f t="shared" si="11"/>
        <v>0</v>
      </c>
      <c r="X42" s="74">
        <f t="shared" si="11"/>
        <v>0</v>
      </c>
      <c r="Y42" s="74">
        <f t="shared" si="11"/>
        <v>0</v>
      </c>
      <c r="Z42" s="74">
        <f t="shared" si="11"/>
        <v>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7"/>
  <dimension ref="A1:AB57"/>
  <sheetViews>
    <sheetView topLeftCell="B1" workbookViewId="0">
      <selection activeCell="N28" sqref="N28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5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152</v>
      </c>
      <c r="L4" s="68">
        <f t="shared" si="0"/>
        <v>202</v>
      </c>
      <c r="M4" s="68">
        <f t="shared" si="0"/>
        <v>283</v>
      </c>
      <c r="N4" s="68">
        <f t="shared" si="0"/>
        <v>333</v>
      </c>
      <c r="O4" s="68">
        <f t="shared" si="0"/>
        <v>413</v>
      </c>
      <c r="P4" s="68">
        <f t="shared" si="0"/>
        <v>513</v>
      </c>
      <c r="Q4" s="68">
        <f t="shared" si="0"/>
        <v>613</v>
      </c>
      <c r="R4" s="68">
        <f t="shared" si="0"/>
        <v>713</v>
      </c>
      <c r="S4" s="68">
        <f t="shared" si="0"/>
        <v>813</v>
      </c>
      <c r="T4" s="68">
        <f t="shared" si="0"/>
        <v>913</v>
      </c>
      <c r="U4" s="68">
        <f t="shared" si="0"/>
        <v>1013</v>
      </c>
      <c r="V4" s="68">
        <f t="shared" si="0"/>
        <v>1113</v>
      </c>
      <c r="W4" s="68">
        <f t="shared" si="0"/>
        <v>1213</v>
      </c>
      <c r="X4" s="68">
        <f t="shared" si="0"/>
        <v>1313</v>
      </c>
      <c r="Y4" s="68">
        <f t="shared" si="0"/>
        <v>1413</v>
      </c>
      <c r="Z4" s="68">
        <f t="shared" si="0"/>
        <v>1513</v>
      </c>
      <c r="AA4" s="68">
        <f t="shared" si="0"/>
        <v>1613</v>
      </c>
      <c r="AB4" s="68">
        <f t="shared" si="0"/>
        <v>1713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50</v>
      </c>
      <c r="K5" s="69">
        <v>50</v>
      </c>
      <c r="L5" s="69">
        <v>11</v>
      </c>
      <c r="M5" s="69">
        <v>50</v>
      </c>
      <c r="N5" s="69">
        <v>80</v>
      </c>
      <c r="O5" s="69">
        <v>100</v>
      </c>
      <c r="P5" s="69">
        <v>100</v>
      </c>
      <c r="Q5" s="69">
        <v>100</v>
      </c>
      <c r="R5" s="69">
        <v>100</v>
      </c>
      <c r="S5" s="69">
        <v>100</v>
      </c>
      <c r="T5" s="69">
        <v>100</v>
      </c>
      <c r="U5" s="69">
        <v>100</v>
      </c>
      <c r="V5" s="69">
        <v>100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70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2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2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10</v>
      </c>
      <c r="K8" s="44">
        <v>-25</v>
      </c>
      <c r="L8" s="44">
        <v>-30</v>
      </c>
      <c r="M8" s="44">
        <v>10</v>
      </c>
      <c r="N8" s="44">
        <v>0</v>
      </c>
      <c r="O8" s="44">
        <v>0</v>
      </c>
      <c r="P8" s="44">
        <v>0</v>
      </c>
      <c r="Q8" s="44">
        <v>0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-45</v>
      </c>
      <c r="K9" s="44">
        <v>-45</v>
      </c>
      <c r="L9" s="44">
        <v>-45</v>
      </c>
      <c r="M9" s="44">
        <v>-45</v>
      </c>
      <c r="N9" s="44">
        <v>0</v>
      </c>
      <c r="O9" s="44">
        <v>0</v>
      </c>
      <c r="P9" s="44">
        <v>0</v>
      </c>
      <c r="Q9" s="44">
        <v>0</v>
      </c>
      <c r="R9" s="44">
        <v>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-40</v>
      </c>
      <c r="K10" s="44">
        <v>-40</v>
      </c>
      <c r="L10" s="44">
        <v>-40</v>
      </c>
      <c r="M10" s="44">
        <v>-40</v>
      </c>
      <c r="N10" s="44">
        <v>0</v>
      </c>
      <c r="O10" s="44">
        <v>0</v>
      </c>
      <c r="P10" s="44">
        <v>0</v>
      </c>
      <c r="Q10" s="44">
        <v>0</v>
      </c>
      <c r="R10" s="44">
        <v>0</v>
      </c>
      <c r="S10" s="44">
        <v>0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-10</v>
      </c>
      <c r="K11" s="44">
        <v>25</v>
      </c>
      <c r="L11" s="44">
        <v>30</v>
      </c>
      <c r="M11" s="44">
        <v>-10</v>
      </c>
      <c r="N11" s="44">
        <v>0</v>
      </c>
      <c r="O11" s="44">
        <v>0</v>
      </c>
      <c r="P11" s="44">
        <v>0</v>
      </c>
      <c r="Q11" s="44">
        <v>0</v>
      </c>
      <c r="R11" s="44">
        <v>0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10</v>
      </c>
      <c r="K12" s="50">
        <v>-25</v>
      </c>
      <c r="L12" s="50">
        <v>-30</v>
      </c>
      <c r="M12" s="50">
        <v>10</v>
      </c>
      <c r="N12" s="50">
        <v>0</v>
      </c>
      <c r="O12" s="50">
        <v>0</v>
      </c>
      <c r="P12" s="50">
        <v>0</v>
      </c>
      <c r="Q12" s="50">
        <v>0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-45</v>
      </c>
      <c r="K13" s="50">
        <v>-45</v>
      </c>
      <c r="L13" s="50">
        <v>-45</v>
      </c>
      <c r="M13" s="50">
        <v>-45</v>
      </c>
      <c r="N13" s="50">
        <v>0</v>
      </c>
      <c r="O13" s="50">
        <v>0</v>
      </c>
      <c r="P13" s="50">
        <v>0</v>
      </c>
      <c r="Q13" s="50">
        <v>0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-40</v>
      </c>
      <c r="K14" s="50">
        <v>-40</v>
      </c>
      <c r="L14" s="50">
        <v>-40</v>
      </c>
      <c r="M14" s="50">
        <v>-40</v>
      </c>
      <c r="N14" s="50">
        <v>0</v>
      </c>
      <c r="O14" s="50">
        <v>0</v>
      </c>
      <c r="P14" s="50">
        <v>0</v>
      </c>
      <c r="Q14" s="50">
        <v>0</v>
      </c>
      <c r="R14" s="50">
        <v>0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-10</v>
      </c>
      <c r="K15" s="50">
        <v>25</v>
      </c>
      <c r="L15" s="50">
        <v>30</v>
      </c>
      <c r="M15" s="50">
        <v>-10</v>
      </c>
      <c r="N15" s="50">
        <v>0</v>
      </c>
      <c r="O15" s="50">
        <v>0</v>
      </c>
      <c r="P15" s="50">
        <v>0</v>
      </c>
      <c r="Q15" s="50">
        <v>0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0</v>
      </c>
      <c r="K16" s="57">
        <v>0</v>
      </c>
      <c r="L16" s="57">
        <v>0</v>
      </c>
      <c r="M16" s="57">
        <v>0</v>
      </c>
      <c r="N16" s="57">
        <v>0</v>
      </c>
      <c r="O16" s="57">
        <v>0</v>
      </c>
      <c r="P16" s="57">
        <v>0</v>
      </c>
      <c r="Q16" s="57">
        <v>0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10</v>
      </c>
      <c r="K17" s="44">
        <v>0</v>
      </c>
      <c r="L17" s="44">
        <v>-45</v>
      </c>
      <c r="M17" s="44">
        <v>-25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10</v>
      </c>
      <c r="M18" s="44">
        <v>20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-120</v>
      </c>
      <c r="L19" s="44">
        <v>-110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-120</v>
      </c>
      <c r="L20" s="44">
        <v>-110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10</v>
      </c>
      <c r="K21" s="50">
        <v>0</v>
      </c>
      <c r="L21" s="50">
        <v>-45</v>
      </c>
      <c r="M21" s="50">
        <v>-25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10</v>
      </c>
      <c r="M22" s="50">
        <v>20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-120</v>
      </c>
      <c r="L23" s="50">
        <v>-110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-120</v>
      </c>
      <c r="L24" s="50">
        <v>-110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-45</v>
      </c>
      <c r="K25" s="64">
        <f t="shared" si="3"/>
        <v>-45</v>
      </c>
      <c r="L25" s="64">
        <f t="shared" si="3"/>
        <v>-45</v>
      </c>
      <c r="M25" s="64">
        <f t="shared" si="3"/>
        <v>-45</v>
      </c>
      <c r="N25" s="64">
        <f t="shared" si="3"/>
        <v>0</v>
      </c>
      <c r="O25" s="64">
        <f t="shared" si="3"/>
        <v>0</v>
      </c>
      <c r="P25" s="64">
        <f t="shared" si="3"/>
        <v>0</v>
      </c>
      <c r="Q25" s="64">
        <f t="shared" si="3"/>
        <v>0</v>
      </c>
      <c r="R25" s="64">
        <f t="shared" si="3"/>
        <v>0</v>
      </c>
      <c r="S25" s="64">
        <f t="shared" si="3"/>
        <v>0</v>
      </c>
      <c r="T25" s="64">
        <f t="shared" si="3"/>
        <v>0</v>
      </c>
      <c r="U25" s="64">
        <f t="shared" si="3"/>
        <v>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-40</v>
      </c>
      <c r="K26" s="64">
        <f t="shared" si="3"/>
        <v>-40</v>
      </c>
      <c r="L26" s="64">
        <f t="shared" si="3"/>
        <v>-40</v>
      </c>
      <c r="M26" s="64">
        <f t="shared" si="3"/>
        <v>-40</v>
      </c>
      <c r="N26" s="64">
        <f t="shared" si="3"/>
        <v>0</v>
      </c>
      <c r="O26" s="64">
        <f t="shared" si="3"/>
        <v>0</v>
      </c>
      <c r="P26" s="64">
        <f t="shared" si="3"/>
        <v>0</v>
      </c>
      <c r="Q26" s="64">
        <f t="shared" si="3"/>
        <v>0</v>
      </c>
      <c r="R26" s="64">
        <f t="shared" si="3"/>
        <v>0</v>
      </c>
      <c r="S26" s="64">
        <f t="shared" si="3"/>
        <v>0</v>
      </c>
      <c r="T26" s="64">
        <f t="shared" si="3"/>
        <v>0</v>
      </c>
      <c r="U26" s="64">
        <f t="shared" si="3"/>
        <v>0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-45</v>
      </c>
      <c r="K27" s="64">
        <f t="shared" si="5"/>
        <v>-45</v>
      </c>
      <c r="L27" s="64">
        <f t="shared" si="5"/>
        <v>-45</v>
      </c>
      <c r="M27" s="64">
        <f t="shared" si="5"/>
        <v>-45</v>
      </c>
      <c r="N27" s="64">
        <f t="shared" si="5"/>
        <v>0</v>
      </c>
      <c r="O27" s="64">
        <f t="shared" si="5"/>
        <v>0</v>
      </c>
      <c r="P27" s="64">
        <f t="shared" si="5"/>
        <v>0</v>
      </c>
      <c r="Q27" s="64">
        <f t="shared" si="5"/>
        <v>0</v>
      </c>
      <c r="R27" s="64">
        <f t="shared" si="5"/>
        <v>0</v>
      </c>
      <c r="S27" s="64">
        <f t="shared" si="5"/>
        <v>0</v>
      </c>
      <c r="T27" s="64">
        <f t="shared" si="5"/>
        <v>0</v>
      </c>
      <c r="U27" s="64">
        <f t="shared" si="5"/>
        <v>0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-40</v>
      </c>
      <c r="K28" s="64">
        <f t="shared" si="5"/>
        <v>-40</v>
      </c>
      <c r="L28" s="64">
        <f t="shared" si="5"/>
        <v>-40</v>
      </c>
      <c r="M28" s="64">
        <f t="shared" si="5"/>
        <v>-40</v>
      </c>
      <c r="N28" s="64">
        <f t="shared" si="5"/>
        <v>0</v>
      </c>
      <c r="O28" s="64">
        <f t="shared" si="5"/>
        <v>0</v>
      </c>
      <c r="P28" s="64">
        <f t="shared" si="5"/>
        <v>0</v>
      </c>
      <c r="Q28" s="64">
        <f t="shared" si="5"/>
        <v>0</v>
      </c>
      <c r="R28" s="64">
        <f t="shared" si="5"/>
        <v>0</v>
      </c>
      <c r="S28" s="64">
        <f t="shared" si="5"/>
        <v>0</v>
      </c>
      <c r="T28" s="64">
        <f t="shared" si="5"/>
        <v>0</v>
      </c>
      <c r="U28" s="64">
        <f t="shared" si="5"/>
        <v>0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0</v>
      </c>
      <c r="K29" s="64">
        <f t="shared" si="6"/>
        <v>0</v>
      </c>
      <c r="L29" s="64">
        <f t="shared" si="6"/>
        <v>10</v>
      </c>
      <c r="M29" s="64">
        <f t="shared" si="6"/>
        <v>20</v>
      </c>
      <c r="N29" s="64">
        <f t="shared" si="6"/>
        <v>0</v>
      </c>
      <c r="O29" s="64">
        <f t="shared" si="6"/>
        <v>0</v>
      </c>
      <c r="P29" s="64">
        <f t="shared" si="6"/>
        <v>0</v>
      </c>
      <c r="Q29" s="64">
        <f t="shared" si="6"/>
        <v>0</v>
      </c>
      <c r="R29" s="64">
        <f t="shared" si="6"/>
        <v>0</v>
      </c>
      <c r="S29" s="64">
        <f t="shared" si="6"/>
        <v>0</v>
      </c>
      <c r="T29" s="64">
        <f t="shared" si="6"/>
        <v>0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0</v>
      </c>
      <c r="K30" s="64">
        <f t="shared" si="7"/>
        <v>0</v>
      </c>
      <c r="L30" s="64">
        <f t="shared" si="7"/>
        <v>10</v>
      </c>
      <c r="M30" s="64">
        <f t="shared" si="7"/>
        <v>20</v>
      </c>
      <c r="N30" s="64">
        <f t="shared" si="7"/>
        <v>0</v>
      </c>
      <c r="O30" s="64">
        <f t="shared" si="7"/>
        <v>0</v>
      </c>
      <c r="P30" s="64">
        <f t="shared" si="7"/>
        <v>0</v>
      </c>
      <c r="Q30" s="64">
        <f t="shared" si="7"/>
        <v>0</v>
      </c>
      <c r="R30" s="64">
        <f t="shared" si="7"/>
        <v>0</v>
      </c>
      <c r="S30" s="64">
        <f t="shared" si="7"/>
        <v>0</v>
      </c>
      <c r="T30" s="64">
        <f t="shared" si="7"/>
        <v>0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10</v>
      </c>
      <c r="K35" s="74">
        <f t="shared" ref="K35:Z35" si="8">K8</f>
        <v>-25</v>
      </c>
      <c r="L35" s="74">
        <f t="shared" si="8"/>
        <v>-30</v>
      </c>
      <c r="M35" s="74">
        <f t="shared" si="8"/>
        <v>10</v>
      </c>
      <c r="N35" s="74">
        <f t="shared" si="8"/>
        <v>0</v>
      </c>
      <c r="O35" s="74">
        <f t="shared" si="8"/>
        <v>0</v>
      </c>
      <c r="P35" s="74">
        <f t="shared" si="8"/>
        <v>0</v>
      </c>
      <c r="Q35" s="74">
        <f t="shared" si="8"/>
        <v>0</v>
      </c>
      <c r="R35" s="74">
        <f t="shared" si="8"/>
        <v>0</v>
      </c>
      <c r="S35" s="74">
        <f t="shared" si="8"/>
        <v>0</v>
      </c>
      <c r="T35" s="74">
        <f t="shared" si="8"/>
        <v>0</v>
      </c>
      <c r="U35" s="74">
        <f t="shared" si="8"/>
        <v>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-50</v>
      </c>
      <c r="K36" s="74">
        <f t="shared" ref="K36:Z36" si="9">K9-5</f>
        <v>-50</v>
      </c>
      <c r="L36" s="74">
        <f t="shared" si="9"/>
        <v>-50</v>
      </c>
      <c r="M36" s="74">
        <f t="shared" si="9"/>
        <v>-50</v>
      </c>
      <c r="N36" s="74">
        <f t="shared" si="9"/>
        <v>-5</v>
      </c>
      <c r="O36" s="74">
        <f t="shared" si="9"/>
        <v>-5</v>
      </c>
      <c r="P36" s="74">
        <f t="shared" si="9"/>
        <v>-5</v>
      </c>
      <c r="Q36" s="74">
        <f t="shared" si="9"/>
        <v>-5</v>
      </c>
      <c r="R36" s="74">
        <f t="shared" si="9"/>
        <v>-5</v>
      </c>
      <c r="S36" s="74">
        <f t="shared" si="9"/>
        <v>-5</v>
      </c>
      <c r="T36" s="74">
        <f t="shared" si="9"/>
        <v>-5</v>
      </c>
      <c r="U36" s="74">
        <f t="shared" si="9"/>
        <v>-5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-35</v>
      </c>
      <c r="K37" s="74">
        <f t="shared" ref="K37:Z37" si="10">K10+5</f>
        <v>-35</v>
      </c>
      <c r="L37" s="74">
        <f t="shared" si="10"/>
        <v>-35</v>
      </c>
      <c r="M37" s="74">
        <f t="shared" si="10"/>
        <v>-35</v>
      </c>
      <c r="N37" s="74">
        <f t="shared" si="10"/>
        <v>5</v>
      </c>
      <c r="O37" s="74">
        <f t="shared" si="10"/>
        <v>5</v>
      </c>
      <c r="P37" s="74">
        <f t="shared" si="10"/>
        <v>5</v>
      </c>
      <c r="Q37" s="74">
        <f t="shared" si="10"/>
        <v>5</v>
      </c>
      <c r="R37" s="74">
        <f t="shared" si="10"/>
        <v>5</v>
      </c>
      <c r="S37" s="74">
        <f t="shared" si="10"/>
        <v>5</v>
      </c>
      <c r="T37" s="74">
        <f t="shared" si="10"/>
        <v>5</v>
      </c>
      <c r="U37" s="74">
        <f t="shared" si="10"/>
        <v>5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Z42" si="11">J11</f>
        <v>-10</v>
      </c>
      <c r="K38" s="74">
        <f t="shared" si="11"/>
        <v>25</v>
      </c>
      <c r="L38" s="74">
        <f t="shared" si="11"/>
        <v>30</v>
      </c>
      <c r="M38" s="74">
        <f t="shared" si="11"/>
        <v>-10</v>
      </c>
      <c r="N38" s="74">
        <f t="shared" si="11"/>
        <v>0</v>
      </c>
      <c r="O38" s="74">
        <f t="shared" si="11"/>
        <v>0</v>
      </c>
      <c r="P38" s="74">
        <f t="shared" si="11"/>
        <v>0</v>
      </c>
      <c r="Q38" s="74">
        <f t="shared" si="11"/>
        <v>0</v>
      </c>
      <c r="R38" s="74">
        <f t="shared" si="11"/>
        <v>0</v>
      </c>
      <c r="S38" s="74">
        <f t="shared" si="11"/>
        <v>0</v>
      </c>
      <c r="T38" s="74">
        <f t="shared" si="11"/>
        <v>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si="11"/>
        <v>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10</v>
      </c>
      <c r="K39" s="74">
        <f t="shared" si="11"/>
        <v>-25</v>
      </c>
      <c r="L39" s="74">
        <f t="shared" si="11"/>
        <v>-30</v>
      </c>
      <c r="M39" s="74">
        <f t="shared" si="11"/>
        <v>10</v>
      </c>
      <c r="N39" s="74">
        <f t="shared" si="11"/>
        <v>0</v>
      </c>
      <c r="O39" s="74">
        <f t="shared" si="11"/>
        <v>0</v>
      </c>
      <c r="P39" s="74">
        <f t="shared" si="11"/>
        <v>0</v>
      </c>
      <c r="Q39" s="74">
        <f t="shared" si="11"/>
        <v>0</v>
      </c>
      <c r="R39" s="74">
        <f t="shared" si="11"/>
        <v>0</v>
      </c>
      <c r="S39" s="74">
        <f t="shared" si="11"/>
        <v>0</v>
      </c>
      <c r="T39" s="74">
        <f t="shared" si="11"/>
        <v>0</v>
      </c>
      <c r="U39" s="74">
        <f t="shared" si="11"/>
        <v>0</v>
      </c>
      <c r="V39" s="74">
        <f t="shared" si="11"/>
        <v>0</v>
      </c>
      <c r="W39" s="74">
        <f t="shared" si="11"/>
        <v>0</v>
      </c>
      <c r="X39" s="74">
        <f t="shared" si="11"/>
        <v>0</v>
      </c>
      <c r="Y39" s="74">
        <f t="shared" si="11"/>
        <v>0</v>
      </c>
      <c r="Z39" s="74">
        <f t="shared" si="11"/>
        <v>0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-50</v>
      </c>
      <c r="K40" s="74">
        <f t="shared" ref="K40:Z40" si="12">K13-5</f>
        <v>-50</v>
      </c>
      <c r="L40" s="74">
        <f t="shared" si="12"/>
        <v>-50</v>
      </c>
      <c r="M40" s="74">
        <f t="shared" si="12"/>
        <v>-50</v>
      </c>
      <c r="N40" s="74">
        <f t="shared" si="12"/>
        <v>-5</v>
      </c>
      <c r="O40" s="74">
        <f t="shared" si="12"/>
        <v>-5</v>
      </c>
      <c r="P40" s="74">
        <f t="shared" si="12"/>
        <v>-5</v>
      </c>
      <c r="Q40" s="74">
        <f t="shared" si="12"/>
        <v>-5</v>
      </c>
      <c r="R40" s="74">
        <f t="shared" si="12"/>
        <v>-5</v>
      </c>
      <c r="S40" s="74">
        <f t="shared" si="12"/>
        <v>-5</v>
      </c>
      <c r="T40" s="74">
        <f t="shared" si="12"/>
        <v>-5</v>
      </c>
      <c r="U40" s="74">
        <f t="shared" si="12"/>
        <v>-5</v>
      </c>
      <c r="V40" s="74">
        <f t="shared" si="12"/>
        <v>-5</v>
      </c>
      <c r="W40" s="74">
        <f t="shared" si="12"/>
        <v>-5</v>
      </c>
      <c r="X40" s="74">
        <f t="shared" si="12"/>
        <v>-5</v>
      </c>
      <c r="Y40" s="74">
        <f t="shared" si="12"/>
        <v>-5</v>
      </c>
      <c r="Z40" s="74">
        <f t="shared" si="12"/>
        <v>-5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-35</v>
      </c>
      <c r="K41" s="74">
        <f t="shared" ref="K41:Z41" si="13">K14+5</f>
        <v>-35</v>
      </c>
      <c r="L41" s="74">
        <f t="shared" si="13"/>
        <v>-35</v>
      </c>
      <c r="M41" s="74">
        <f t="shared" si="13"/>
        <v>-35</v>
      </c>
      <c r="N41" s="74">
        <f t="shared" si="13"/>
        <v>5</v>
      </c>
      <c r="O41" s="74">
        <f t="shared" si="13"/>
        <v>5</v>
      </c>
      <c r="P41" s="74">
        <f t="shared" si="13"/>
        <v>5</v>
      </c>
      <c r="Q41" s="74">
        <f t="shared" si="13"/>
        <v>5</v>
      </c>
      <c r="R41" s="74">
        <f t="shared" si="13"/>
        <v>5</v>
      </c>
      <c r="S41" s="74">
        <f t="shared" si="13"/>
        <v>5</v>
      </c>
      <c r="T41" s="74">
        <f t="shared" si="13"/>
        <v>5</v>
      </c>
      <c r="U41" s="74">
        <f t="shared" si="13"/>
        <v>5</v>
      </c>
      <c r="V41" s="74">
        <f t="shared" si="13"/>
        <v>5</v>
      </c>
      <c r="W41" s="74">
        <f t="shared" si="13"/>
        <v>5</v>
      </c>
      <c r="X41" s="74">
        <f t="shared" si="13"/>
        <v>5</v>
      </c>
      <c r="Y41" s="74">
        <f t="shared" si="13"/>
        <v>5</v>
      </c>
      <c r="Z41" s="74">
        <f t="shared" si="13"/>
        <v>5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-10</v>
      </c>
      <c r="K42" s="74">
        <f t="shared" si="11"/>
        <v>25</v>
      </c>
      <c r="L42" s="74">
        <f t="shared" si="11"/>
        <v>30</v>
      </c>
      <c r="M42" s="74">
        <f t="shared" si="11"/>
        <v>-10</v>
      </c>
      <c r="N42" s="74">
        <f t="shared" si="11"/>
        <v>0</v>
      </c>
      <c r="O42" s="74">
        <f t="shared" si="11"/>
        <v>0</v>
      </c>
      <c r="P42" s="74">
        <f t="shared" si="11"/>
        <v>0</v>
      </c>
      <c r="Q42" s="74">
        <f t="shared" si="11"/>
        <v>0</v>
      </c>
      <c r="R42" s="74">
        <f t="shared" si="11"/>
        <v>0</v>
      </c>
      <c r="S42" s="74">
        <f t="shared" si="11"/>
        <v>0</v>
      </c>
      <c r="T42" s="74">
        <f t="shared" si="11"/>
        <v>0</v>
      </c>
      <c r="U42" s="74">
        <f t="shared" si="11"/>
        <v>0</v>
      </c>
      <c r="V42" s="74">
        <f t="shared" si="11"/>
        <v>0</v>
      </c>
      <c r="W42" s="74">
        <f t="shared" si="11"/>
        <v>0</v>
      </c>
      <c r="X42" s="74">
        <f t="shared" si="11"/>
        <v>0</v>
      </c>
      <c r="Y42" s="74">
        <f t="shared" si="11"/>
        <v>0</v>
      </c>
      <c r="Z42" s="74">
        <f t="shared" si="11"/>
        <v>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A1:AB57"/>
  <sheetViews>
    <sheetView topLeftCell="C1" workbookViewId="0">
      <selection activeCell="K6" sqref="K6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/>
      <c r="N1" s="23"/>
      <c r="O1" s="23"/>
      <c r="P1" s="23">
        <v>3</v>
      </c>
      <c r="Q1" s="23"/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2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50</v>
      </c>
      <c r="K3" s="67" t="s">
        <v>51</v>
      </c>
      <c r="L3" s="67" t="s">
        <v>52</v>
      </c>
      <c r="M3" s="67" t="s">
        <v>53</v>
      </c>
      <c r="N3" s="67" t="s">
        <v>54</v>
      </c>
      <c r="O3" s="67" t="s">
        <v>55</v>
      </c>
      <c r="P3" s="67" t="s">
        <v>56</v>
      </c>
      <c r="Q3" s="67" t="s">
        <v>57</v>
      </c>
      <c r="R3" s="67" t="s">
        <v>58</v>
      </c>
      <c r="S3" s="67" t="s">
        <v>59</v>
      </c>
      <c r="T3" s="67" t="s">
        <v>46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113</v>
      </c>
      <c r="L4" s="68">
        <f t="shared" si="0"/>
        <v>123</v>
      </c>
      <c r="M4" s="68">
        <f t="shared" si="0"/>
        <v>126</v>
      </c>
      <c r="N4" s="68">
        <f t="shared" si="0"/>
        <v>132</v>
      </c>
      <c r="O4" s="68">
        <f t="shared" si="0"/>
        <v>142</v>
      </c>
      <c r="P4" s="68">
        <f t="shared" si="0"/>
        <v>145</v>
      </c>
      <c r="Q4" s="68">
        <f t="shared" si="0"/>
        <v>151</v>
      </c>
      <c r="R4" s="68">
        <f t="shared" si="0"/>
        <v>156</v>
      </c>
      <c r="S4" s="68">
        <f t="shared" si="0"/>
        <v>161</v>
      </c>
      <c r="T4" s="68">
        <f t="shared" si="0"/>
        <v>171</v>
      </c>
      <c r="U4" s="68">
        <f t="shared" si="0"/>
        <v>183</v>
      </c>
      <c r="V4" s="68">
        <f t="shared" si="0"/>
        <v>196</v>
      </c>
      <c r="W4" s="68">
        <f t="shared" si="0"/>
        <v>210</v>
      </c>
      <c r="X4" s="68">
        <f t="shared" si="0"/>
        <v>235</v>
      </c>
      <c r="Y4" s="68">
        <f t="shared" si="0"/>
        <v>335</v>
      </c>
      <c r="Z4" s="68">
        <f t="shared" si="0"/>
        <v>435</v>
      </c>
      <c r="AA4" s="68">
        <f t="shared" si="0"/>
        <v>535</v>
      </c>
      <c r="AB4" s="68">
        <f t="shared" si="0"/>
        <v>635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5</v>
      </c>
      <c r="K5" s="69">
        <v>2</v>
      </c>
      <c r="L5" s="69">
        <v>3</v>
      </c>
      <c r="M5" s="69">
        <v>6</v>
      </c>
      <c r="N5" s="69">
        <f>K5</f>
        <v>2</v>
      </c>
      <c r="O5" s="69">
        <f t="shared" ref="O5:P6" si="1">L5</f>
        <v>3</v>
      </c>
      <c r="P5" s="69">
        <f t="shared" si="1"/>
        <v>6</v>
      </c>
      <c r="Q5" s="69">
        <v>3</v>
      </c>
      <c r="R5" s="69">
        <v>5</v>
      </c>
      <c r="S5" s="69">
        <v>10</v>
      </c>
      <c r="T5" s="69">
        <v>12</v>
      </c>
      <c r="U5" s="69">
        <v>13</v>
      </c>
      <c r="V5" s="69">
        <v>14</v>
      </c>
      <c r="W5" s="69">
        <v>25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6</v>
      </c>
      <c r="K6" s="69">
        <v>8</v>
      </c>
      <c r="L6" s="69">
        <v>0</v>
      </c>
      <c r="M6" s="69">
        <v>0</v>
      </c>
      <c r="N6" s="69">
        <f>K6</f>
        <v>8</v>
      </c>
      <c r="O6" s="69">
        <f t="shared" si="1"/>
        <v>0</v>
      </c>
      <c r="P6" s="69">
        <f t="shared" si="1"/>
        <v>0</v>
      </c>
      <c r="Q6" s="69">
        <v>2</v>
      </c>
      <c r="R6" s="69">
        <v>0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2</v>
      </c>
      <c r="T7" s="39">
        <v>0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32.820512820512818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15</v>
      </c>
      <c r="K8" s="44">
        <v>15</v>
      </c>
      <c r="L8" s="44">
        <v>0</v>
      </c>
      <c r="M8" s="44">
        <v>5</v>
      </c>
      <c r="N8" s="44">
        <v>-10</v>
      </c>
      <c r="O8" s="44">
        <v>5</v>
      </c>
      <c r="P8" s="44">
        <v>10</v>
      </c>
      <c r="Q8" s="44">
        <v>15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37.948717948717949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15</v>
      </c>
      <c r="K9" s="44">
        <v>20</v>
      </c>
      <c r="L9" s="44">
        <v>15</v>
      </c>
      <c r="M9" s="44">
        <v>35</v>
      </c>
      <c r="N9" s="44">
        <v>-40</v>
      </c>
      <c r="O9" s="44">
        <v>-15</v>
      </c>
      <c r="P9" s="44">
        <v>10</v>
      </c>
      <c r="Q9" s="44">
        <v>20</v>
      </c>
      <c r="R9" s="44">
        <v>-10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22.564102564102566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-15</v>
      </c>
      <c r="K10" s="44">
        <v>-5</v>
      </c>
      <c r="L10" s="44">
        <v>-10</v>
      </c>
      <c r="M10" s="44">
        <v>-5</v>
      </c>
      <c r="N10" s="44">
        <v>-13</v>
      </c>
      <c r="O10" s="44">
        <v>20</v>
      </c>
      <c r="P10" s="44">
        <v>0</v>
      </c>
      <c r="Q10" s="44">
        <v>5</v>
      </c>
      <c r="R10" s="44">
        <v>15</v>
      </c>
      <c r="S10" s="44">
        <v>0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45.641025641025642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-5</v>
      </c>
      <c r="K11" s="44">
        <v>-5</v>
      </c>
      <c r="L11" s="44">
        <v>-3</v>
      </c>
      <c r="M11" s="44">
        <v>-3</v>
      </c>
      <c r="N11" s="44">
        <v>5</v>
      </c>
      <c r="O11" s="44">
        <v>-5</v>
      </c>
      <c r="P11" s="44">
        <v>-5</v>
      </c>
      <c r="Q11" s="44">
        <v>-5</v>
      </c>
      <c r="R11" s="44">
        <v>0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25.128205128205128</v>
      </c>
      <c r="D12" s="17">
        <v>1</v>
      </c>
      <c r="E12" s="49">
        <f>IF(E8=0,1,0)</f>
        <v>0</v>
      </c>
      <c r="F12" s="50">
        <v>50</v>
      </c>
      <c r="G12" s="50">
        <v>3</v>
      </c>
      <c r="H12" s="50">
        <v>0</v>
      </c>
      <c r="I12" s="50">
        <v>0</v>
      </c>
      <c r="J12" s="50">
        <v>-5</v>
      </c>
      <c r="K12" s="50">
        <v>-10</v>
      </c>
      <c r="L12" s="50">
        <v>5</v>
      </c>
      <c r="M12" s="50">
        <v>10</v>
      </c>
      <c r="N12" s="50">
        <v>15</v>
      </c>
      <c r="O12" s="50">
        <v>5</v>
      </c>
      <c r="P12" s="50">
        <v>5</v>
      </c>
      <c r="Q12" s="50">
        <v>-10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53.333333333333336</v>
      </c>
      <c r="D13" s="17">
        <v>2</v>
      </c>
      <c r="E13" s="49">
        <f t="shared" ref="E13:E15" si="2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25</v>
      </c>
      <c r="K13" s="50">
        <v>-40</v>
      </c>
      <c r="L13" s="50">
        <v>-15</v>
      </c>
      <c r="M13" s="50">
        <v>10</v>
      </c>
      <c r="N13" s="50">
        <v>20</v>
      </c>
      <c r="O13" s="50">
        <v>15</v>
      </c>
      <c r="P13" s="50">
        <v>35</v>
      </c>
      <c r="Q13" s="50">
        <v>-40</v>
      </c>
      <c r="R13" s="50">
        <v>-10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66.15384615384616</v>
      </c>
      <c r="D14" s="17">
        <v>3</v>
      </c>
      <c r="E14" s="49">
        <f t="shared" si="2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-5</v>
      </c>
      <c r="K14" s="50">
        <v>-13</v>
      </c>
      <c r="L14" s="50">
        <v>20</v>
      </c>
      <c r="M14" s="50">
        <v>0</v>
      </c>
      <c r="N14" s="50">
        <v>-5</v>
      </c>
      <c r="O14" s="50">
        <v>-10</v>
      </c>
      <c r="P14" s="50">
        <v>-5</v>
      </c>
      <c r="Q14" s="50">
        <v>-13</v>
      </c>
      <c r="R14" s="50">
        <v>15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22.564102564102566</v>
      </c>
      <c r="D15" s="17">
        <v>4</v>
      </c>
      <c r="E15" s="49">
        <f t="shared" si="2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5</v>
      </c>
      <c r="K15" s="50">
        <v>5</v>
      </c>
      <c r="L15" s="50">
        <v>-5</v>
      </c>
      <c r="M15" s="50">
        <v>-5</v>
      </c>
      <c r="N15" s="50">
        <v>-5</v>
      </c>
      <c r="O15" s="50">
        <v>-3</v>
      </c>
      <c r="P15" s="50">
        <v>-3</v>
      </c>
      <c r="Q15" s="50">
        <v>5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22.564102564102566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-10</v>
      </c>
      <c r="K16" s="57">
        <v>-5</v>
      </c>
      <c r="L16" s="57">
        <v>5</v>
      </c>
      <c r="M16" s="57">
        <v>10</v>
      </c>
      <c r="N16" s="57">
        <v>5</v>
      </c>
      <c r="O16" s="57">
        <v>-5</v>
      </c>
      <c r="P16" s="57">
        <v>-10</v>
      </c>
      <c r="Q16" s="57">
        <v>-5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27.692307692307693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17.435897435897434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25.128205128205128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43.07692307692308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22.564102564102566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35.384615384615387</v>
      </c>
      <c r="D22" s="17">
        <v>6</v>
      </c>
      <c r="E22" s="49">
        <f t="shared" ref="E22:E24" si="3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27.692307692307693</v>
      </c>
      <c r="D23" s="17">
        <v>7</v>
      </c>
      <c r="E23" s="49">
        <f t="shared" si="3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30.256410256410255</v>
      </c>
      <c r="D24" s="17">
        <v>8</v>
      </c>
      <c r="E24" s="49">
        <f t="shared" si="3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30.256410256410255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4">H9</f>
        <v>0</v>
      </c>
      <c r="I25" s="64">
        <f t="shared" si="4"/>
        <v>0</v>
      </c>
      <c r="J25" s="64">
        <f t="shared" si="4"/>
        <v>15</v>
      </c>
      <c r="K25" s="64">
        <f t="shared" si="4"/>
        <v>20</v>
      </c>
      <c r="L25" s="64">
        <f t="shared" si="4"/>
        <v>15</v>
      </c>
      <c r="M25" s="64">
        <f t="shared" si="4"/>
        <v>35</v>
      </c>
      <c r="N25" s="64">
        <f t="shared" si="4"/>
        <v>-40</v>
      </c>
      <c r="O25" s="64">
        <f t="shared" si="4"/>
        <v>-15</v>
      </c>
      <c r="P25" s="64">
        <f t="shared" si="4"/>
        <v>10</v>
      </c>
      <c r="Q25" s="64">
        <f t="shared" si="4"/>
        <v>20</v>
      </c>
      <c r="R25" s="64">
        <f t="shared" si="4"/>
        <v>-10</v>
      </c>
      <c r="S25" s="64">
        <f t="shared" si="4"/>
        <v>0</v>
      </c>
      <c r="T25" s="64">
        <f t="shared" si="4"/>
        <v>0</v>
      </c>
      <c r="U25" s="64">
        <f t="shared" si="4"/>
        <v>0</v>
      </c>
      <c r="V25" s="64">
        <f t="shared" si="4"/>
        <v>0</v>
      </c>
      <c r="W25" s="64">
        <f t="shared" si="4"/>
        <v>0</v>
      </c>
      <c r="X25" s="64">
        <f t="shared" si="4"/>
        <v>0</v>
      </c>
      <c r="Y25" s="64">
        <f t="shared" si="4"/>
        <v>0</v>
      </c>
      <c r="Z25" s="64">
        <f t="shared" si="4"/>
        <v>0</v>
      </c>
      <c r="AA25" s="64">
        <f t="shared" si="4"/>
        <v>0</v>
      </c>
      <c r="AB25" s="64">
        <f t="shared" si="4"/>
        <v>0</v>
      </c>
    </row>
    <row r="26" spans="1:28">
      <c r="A26" s="58" t="s">
        <v>9</v>
      </c>
      <c r="B26" s="59">
        <v>5</v>
      </c>
      <c r="C26" s="60">
        <v>48.205128205128204</v>
      </c>
      <c r="D26" s="61"/>
      <c r="E26" s="62">
        <f>E10</f>
        <v>1</v>
      </c>
      <c r="F26" s="63">
        <v>-1.8</v>
      </c>
      <c r="G26" s="64">
        <f t="shared" ref="G26" si="5">G10</f>
        <v>0</v>
      </c>
      <c r="H26" s="64">
        <f t="shared" si="4"/>
        <v>0</v>
      </c>
      <c r="I26" s="64">
        <f t="shared" si="4"/>
        <v>0</v>
      </c>
      <c r="J26" s="64">
        <f t="shared" si="4"/>
        <v>-15</v>
      </c>
      <c r="K26" s="64">
        <f t="shared" si="4"/>
        <v>-5</v>
      </c>
      <c r="L26" s="64">
        <f t="shared" si="4"/>
        <v>-10</v>
      </c>
      <c r="M26" s="64">
        <f t="shared" si="4"/>
        <v>-5</v>
      </c>
      <c r="N26" s="64">
        <f t="shared" si="4"/>
        <v>-13</v>
      </c>
      <c r="O26" s="64">
        <f t="shared" si="4"/>
        <v>20</v>
      </c>
      <c r="P26" s="64">
        <f t="shared" si="4"/>
        <v>0</v>
      </c>
      <c r="Q26" s="64">
        <f t="shared" si="4"/>
        <v>5</v>
      </c>
      <c r="R26" s="64">
        <f t="shared" si="4"/>
        <v>15</v>
      </c>
      <c r="S26" s="64">
        <f t="shared" si="4"/>
        <v>0</v>
      </c>
      <c r="T26" s="64">
        <f t="shared" si="4"/>
        <v>0</v>
      </c>
      <c r="U26" s="64">
        <f t="shared" si="4"/>
        <v>0</v>
      </c>
      <c r="V26" s="64">
        <f t="shared" si="4"/>
        <v>0</v>
      </c>
      <c r="W26" s="64">
        <f t="shared" si="4"/>
        <v>0</v>
      </c>
      <c r="X26" s="64">
        <f t="shared" si="4"/>
        <v>0</v>
      </c>
      <c r="Y26" s="64">
        <f t="shared" si="4"/>
        <v>0</v>
      </c>
      <c r="Z26" s="64">
        <f t="shared" si="4"/>
        <v>0</v>
      </c>
      <c r="AA26" s="64">
        <f t="shared" si="4"/>
        <v>0</v>
      </c>
      <c r="AB26" s="64">
        <f t="shared" si="4"/>
        <v>0</v>
      </c>
    </row>
    <row r="27" spans="1:28">
      <c r="A27" s="58" t="s">
        <v>12</v>
      </c>
      <c r="B27" s="59">
        <v>9</v>
      </c>
      <c r="C27" s="60">
        <v>37.948717948717949</v>
      </c>
      <c r="D27" s="61"/>
      <c r="E27" s="62">
        <f>E13</f>
        <v>1</v>
      </c>
      <c r="F27" s="63">
        <v>4.8</v>
      </c>
      <c r="G27" s="64">
        <f t="shared" ref="G27:AB28" si="6">G13</f>
        <v>0</v>
      </c>
      <c r="H27" s="64">
        <f t="shared" si="6"/>
        <v>0</v>
      </c>
      <c r="I27" s="64">
        <f t="shared" si="6"/>
        <v>0</v>
      </c>
      <c r="J27" s="64">
        <f t="shared" si="6"/>
        <v>25</v>
      </c>
      <c r="K27" s="64">
        <f t="shared" si="6"/>
        <v>-40</v>
      </c>
      <c r="L27" s="64">
        <f t="shared" si="6"/>
        <v>-15</v>
      </c>
      <c r="M27" s="64">
        <f t="shared" si="6"/>
        <v>10</v>
      </c>
      <c r="N27" s="64">
        <f t="shared" si="6"/>
        <v>20</v>
      </c>
      <c r="O27" s="64">
        <f t="shared" si="6"/>
        <v>15</v>
      </c>
      <c r="P27" s="64">
        <f t="shared" si="6"/>
        <v>35</v>
      </c>
      <c r="Q27" s="64">
        <f t="shared" si="6"/>
        <v>-40</v>
      </c>
      <c r="R27" s="64">
        <f t="shared" si="6"/>
        <v>-10</v>
      </c>
      <c r="S27" s="64">
        <f t="shared" si="6"/>
        <v>0</v>
      </c>
      <c r="T27" s="64">
        <f t="shared" si="6"/>
        <v>0</v>
      </c>
      <c r="U27" s="64">
        <f t="shared" si="6"/>
        <v>0</v>
      </c>
      <c r="V27" s="64">
        <f t="shared" si="6"/>
        <v>0</v>
      </c>
      <c r="W27" s="64">
        <f t="shared" si="6"/>
        <v>0</v>
      </c>
      <c r="X27" s="64">
        <f t="shared" si="6"/>
        <v>0</v>
      </c>
      <c r="Y27" s="64">
        <f t="shared" si="6"/>
        <v>0</v>
      </c>
      <c r="Z27" s="64">
        <f t="shared" si="6"/>
        <v>0</v>
      </c>
      <c r="AA27" s="64">
        <f t="shared" si="6"/>
        <v>0</v>
      </c>
      <c r="AB27" s="64">
        <f t="shared" si="6"/>
        <v>0</v>
      </c>
    </row>
    <row r="28" spans="1:28">
      <c r="A28" s="58" t="s">
        <v>13</v>
      </c>
      <c r="B28" s="59">
        <v>11</v>
      </c>
      <c r="C28" s="60">
        <v>68.717948717948715</v>
      </c>
      <c r="D28" s="61"/>
      <c r="E28" s="62">
        <f>E14</f>
        <v>0</v>
      </c>
      <c r="F28" s="63">
        <v>-1.5</v>
      </c>
      <c r="G28" s="64">
        <f t="shared" si="6"/>
        <v>0</v>
      </c>
      <c r="H28" s="64">
        <f t="shared" si="6"/>
        <v>0</v>
      </c>
      <c r="I28" s="64">
        <f t="shared" si="6"/>
        <v>0</v>
      </c>
      <c r="J28" s="64">
        <f t="shared" si="6"/>
        <v>-5</v>
      </c>
      <c r="K28" s="64">
        <f t="shared" si="6"/>
        <v>-13</v>
      </c>
      <c r="L28" s="64">
        <f t="shared" si="6"/>
        <v>20</v>
      </c>
      <c r="M28" s="64">
        <f t="shared" si="6"/>
        <v>0</v>
      </c>
      <c r="N28" s="64">
        <f t="shared" si="6"/>
        <v>-5</v>
      </c>
      <c r="O28" s="64">
        <f t="shared" si="6"/>
        <v>-10</v>
      </c>
      <c r="P28" s="64">
        <f t="shared" si="6"/>
        <v>-5</v>
      </c>
      <c r="Q28" s="64">
        <f t="shared" si="6"/>
        <v>-13</v>
      </c>
      <c r="R28" s="64">
        <f t="shared" si="6"/>
        <v>15</v>
      </c>
      <c r="S28" s="64">
        <f t="shared" si="6"/>
        <v>0</v>
      </c>
      <c r="T28" s="64">
        <f t="shared" si="6"/>
        <v>0</v>
      </c>
      <c r="U28" s="64">
        <f t="shared" si="6"/>
        <v>0</v>
      </c>
      <c r="V28" s="64">
        <f t="shared" si="6"/>
        <v>0</v>
      </c>
      <c r="W28" s="64">
        <f t="shared" si="6"/>
        <v>0</v>
      </c>
      <c r="X28" s="64">
        <f t="shared" si="6"/>
        <v>0</v>
      </c>
      <c r="Y28" s="64">
        <f t="shared" si="6"/>
        <v>0</v>
      </c>
      <c r="Z28" s="64">
        <f t="shared" si="6"/>
        <v>0</v>
      </c>
      <c r="AA28" s="64">
        <f t="shared" si="6"/>
        <v>0</v>
      </c>
      <c r="AB28" s="64">
        <f t="shared" si="6"/>
        <v>0</v>
      </c>
    </row>
    <row r="29" spans="1:28">
      <c r="A29" s="58" t="s">
        <v>17</v>
      </c>
      <c r="B29" s="59">
        <v>16</v>
      </c>
      <c r="C29" s="60">
        <v>22.564102564102566</v>
      </c>
      <c r="D29" s="61"/>
      <c r="E29" s="62">
        <f>IF(E18=0,1,0)</f>
        <v>1</v>
      </c>
      <c r="F29" s="63">
        <v>-0.9</v>
      </c>
      <c r="G29" s="64">
        <f t="shared" ref="G29:AB29" si="7">G18</f>
        <v>0</v>
      </c>
      <c r="H29" s="64">
        <f t="shared" si="7"/>
        <v>0</v>
      </c>
      <c r="I29" s="64">
        <f t="shared" si="7"/>
        <v>0</v>
      </c>
      <c r="J29" s="64">
        <f t="shared" si="7"/>
        <v>0</v>
      </c>
      <c r="K29" s="64">
        <f t="shared" si="7"/>
        <v>0</v>
      </c>
      <c r="L29" s="64">
        <f t="shared" si="7"/>
        <v>0</v>
      </c>
      <c r="M29" s="64">
        <f t="shared" si="7"/>
        <v>0</v>
      </c>
      <c r="N29" s="64">
        <f t="shared" si="7"/>
        <v>0</v>
      </c>
      <c r="O29" s="64">
        <f t="shared" si="7"/>
        <v>0</v>
      </c>
      <c r="P29" s="64">
        <f t="shared" si="7"/>
        <v>0</v>
      </c>
      <c r="Q29" s="64">
        <f t="shared" si="7"/>
        <v>0</v>
      </c>
      <c r="R29" s="64">
        <f t="shared" si="7"/>
        <v>0</v>
      </c>
      <c r="S29" s="64">
        <f t="shared" si="7"/>
        <v>0</v>
      </c>
      <c r="T29" s="64">
        <f t="shared" si="7"/>
        <v>0</v>
      </c>
      <c r="U29" s="64">
        <f t="shared" si="7"/>
        <v>0</v>
      </c>
      <c r="V29" s="64">
        <f t="shared" si="7"/>
        <v>0</v>
      </c>
      <c r="W29" s="64">
        <f t="shared" si="7"/>
        <v>0</v>
      </c>
      <c r="X29" s="64">
        <f t="shared" si="7"/>
        <v>0</v>
      </c>
      <c r="Y29" s="64">
        <f t="shared" si="7"/>
        <v>0</v>
      </c>
      <c r="Z29" s="64">
        <f t="shared" si="7"/>
        <v>0</v>
      </c>
      <c r="AA29" s="64">
        <f t="shared" si="7"/>
        <v>0</v>
      </c>
      <c r="AB29" s="64">
        <f t="shared" si="7"/>
        <v>0</v>
      </c>
    </row>
    <row r="30" spans="1:28">
      <c r="A30" s="58" t="s">
        <v>21</v>
      </c>
      <c r="B30" s="59">
        <v>21</v>
      </c>
      <c r="C30" s="60">
        <v>37.948717948717949</v>
      </c>
      <c r="D30" s="61"/>
      <c r="E30" s="62">
        <f>IF(E22=0,1,0)</f>
        <v>0</v>
      </c>
      <c r="F30" s="63">
        <v>1.2</v>
      </c>
      <c r="G30" s="64">
        <f t="shared" ref="G30:AB30" si="8">G22</f>
        <v>0</v>
      </c>
      <c r="H30" s="64">
        <f t="shared" si="8"/>
        <v>0</v>
      </c>
      <c r="I30" s="64">
        <f t="shared" si="8"/>
        <v>0</v>
      </c>
      <c r="J30" s="64">
        <f t="shared" si="8"/>
        <v>0</v>
      </c>
      <c r="K30" s="64">
        <f t="shared" si="8"/>
        <v>0</v>
      </c>
      <c r="L30" s="64">
        <f t="shared" si="8"/>
        <v>0</v>
      </c>
      <c r="M30" s="64">
        <f t="shared" si="8"/>
        <v>0</v>
      </c>
      <c r="N30" s="64">
        <f t="shared" si="8"/>
        <v>0</v>
      </c>
      <c r="O30" s="64">
        <f t="shared" si="8"/>
        <v>0</v>
      </c>
      <c r="P30" s="64">
        <f t="shared" si="8"/>
        <v>0</v>
      </c>
      <c r="Q30" s="64">
        <f t="shared" si="8"/>
        <v>0</v>
      </c>
      <c r="R30" s="64">
        <f t="shared" si="8"/>
        <v>0</v>
      </c>
      <c r="S30" s="64">
        <f t="shared" si="8"/>
        <v>0</v>
      </c>
      <c r="T30" s="64">
        <f t="shared" si="8"/>
        <v>0</v>
      </c>
      <c r="U30" s="64">
        <f t="shared" si="8"/>
        <v>0</v>
      </c>
      <c r="V30" s="64">
        <f t="shared" si="8"/>
        <v>0</v>
      </c>
      <c r="W30" s="64">
        <f t="shared" si="8"/>
        <v>0</v>
      </c>
      <c r="X30" s="64">
        <f t="shared" si="8"/>
        <v>0</v>
      </c>
      <c r="Y30" s="64">
        <f t="shared" si="8"/>
        <v>0</v>
      </c>
      <c r="Z30" s="64">
        <f t="shared" si="8"/>
        <v>0</v>
      </c>
      <c r="AA30" s="64">
        <f t="shared" si="8"/>
        <v>0</v>
      </c>
      <c r="AB30" s="64">
        <f t="shared" si="8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</row>
    <row r="49" spans="1:5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</row>
    <row r="50" spans="1:5">
      <c r="A50" s="19">
        <v>0</v>
      </c>
      <c r="B50" s="19">
        <v>100</v>
      </c>
      <c r="C50" s="19">
        <v>100</v>
      </c>
      <c r="D50">
        <v>85</v>
      </c>
      <c r="E50" t="s">
        <v>40</v>
      </c>
    </row>
    <row r="51" spans="1:5">
      <c r="A51" s="19">
        <v>0</v>
      </c>
      <c r="B51" s="19">
        <v>100</v>
      </c>
      <c r="C51" s="19">
        <v>100</v>
      </c>
      <c r="D51">
        <v>-90</v>
      </c>
      <c r="E51" t="s">
        <v>39</v>
      </c>
    </row>
    <row r="52" spans="1:5">
      <c r="A52" s="19">
        <v>44.9</v>
      </c>
      <c r="B52" s="19">
        <v>3.5</v>
      </c>
      <c r="C52" s="19">
        <v>3.5</v>
      </c>
      <c r="D52">
        <v>-9.1000000000000014</v>
      </c>
    </row>
    <row r="53" spans="1:5">
      <c r="A53" s="19">
        <v>-44.5</v>
      </c>
      <c r="B53" s="19">
        <v>-3.5</v>
      </c>
      <c r="C53" s="19">
        <v>-3.5</v>
      </c>
      <c r="D53">
        <v>-6.5</v>
      </c>
    </row>
    <row r="54" spans="1:5">
      <c r="A54" s="19">
        <v>45.7</v>
      </c>
      <c r="B54" s="19">
        <v>5.5</v>
      </c>
      <c r="C54" s="19">
        <v>5.8</v>
      </c>
      <c r="D54">
        <v>-6.2999999999999972</v>
      </c>
    </row>
    <row r="55" spans="1:5">
      <c r="A55" s="19">
        <v>-42.4</v>
      </c>
      <c r="B55" s="19">
        <v>-5</v>
      </c>
      <c r="C55" s="19">
        <v>-5</v>
      </c>
      <c r="D55">
        <v>-6.3999999999999986</v>
      </c>
    </row>
    <row r="56" spans="1:5">
      <c r="A56" s="19">
        <v>15.6</v>
      </c>
      <c r="B56" s="19">
        <v>1</v>
      </c>
      <c r="C56" s="19">
        <v>1</v>
      </c>
      <c r="D56">
        <v>15.6</v>
      </c>
    </row>
    <row r="57" spans="1:5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6"/>
  <dimension ref="A1:AB57"/>
  <sheetViews>
    <sheetView topLeftCell="A34" workbookViewId="0">
      <selection activeCell="C2" sqref="C2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/>
      <c r="N1" s="23"/>
      <c r="O1" s="23"/>
      <c r="P1" s="23"/>
      <c r="Q1" s="23">
        <v>4</v>
      </c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3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63</v>
      </c>
      <c r="K3" s="67" t="s">
        <v>64</v>
      </c>
      <c r="L3" s="67" t="s">
        <v>65</v>
      </c>
      <c r="M3" s="67" t="s">
        <v>66</v>
      </c>
      <c r="N3" s="67" t="s">
        <v>67</v>
      </c>
      <c r="O3" s="67" t="s">
        <v>68</v>
      </c>
      <c r="P3" s="67" t="s">
        <v>69</v>
      </c>
      <c r="Q3" s="67" t="s">
        <v>70</v>
      </c>
      <c r="R3" s="67" t="s">
        <v>71</v>
      </c>
      <c r="S3" s="67" t="s">
        <v>72</v>
      </c>
      <c r="T3" s="67" t="s">
        <v>73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105</v>
      </c>
      <c r="L4" s="68">
        <f t="shared" si="0"/>
        <v>113</v>
      </c>
      <c r="M4" s="68">
        <f t="shared" si="0"/>
        <v>118</v>
      </c>
      <c r="N4" s="68">
        <f t="shared" si="0"/>
        <v>122</v>
      </c>
      <c r="O4" s="68">
        <f t="shared" si="0"/>
        <v>128</v>
      </c>
      <c r="P4" s="68">
        <f t="shared" si="0"/>
        <v>133</v>
      </c>
      <c r="Q4" s="68">
        <f t="shared" si="0"/>
        <v>137</v>
      </c>
      <c r="R4" s="68">
        <f t="shared" si="0"/>
        <v>143</v>
      </c>
      <c r="S4" s="68">
        <f t="shared" si="0"/>
        <v>158</v>
      </c>
      <c r="T4" s="68">
        <f t="shared" si="0"/>
        <v>168</v>
      </c>
      <c r="U4" s="68">
        <f t="shared" si="0"/>
        <v>170</v>
      </c>
      <c r="V4" s="68">
        <f t="shared" si="0"/>
        <v>172</v>
      </c>
      <c r="W4" s="68">
        <f t="shared" si="0"/>
        <v>174</v>
      </c>
      <c r="X4" s="68">
        <f t="shared" si="0"/>
        <v>199</v>
      </c>
      <c r="Y4" s="68">
        <f t="shared" si="0"/>
        <v>299</v>
      </c>
      <c r="Z4" s="68">
        <f t="shared" si="0"/>
        <v>399</v>
      </c>
      <c r="AA4" s="68">
        <f t="shared" si="0"/>
        <v>499</v>
      </c>
      <c r="AB4" s="68">
        <f t="shared" si="0"/>
        <v>599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3</v>
      </c>
      <c r="K5" s="69">
        <v>8</v>
      </c>
      <c r="L5" s="69">
        <v>5</v>
      </c>
      <c r="M5" s="69">
        <v>4</v>
      </c>
      <c r="N5" s="69">
        <v>6</v>
      </c>
      <c r="O5" s="69">
        <v>5</v>
      </c>
      <c r="P5" s="69">
        <v>4</v>
      </c>
      <c r="Q5" s="69">
        <v>6</v>
      </c>
      <c r="R5" s="69">
        <v>5</v>
      </c>
      <c r="S5" s="69">
        <v>10</v>
      </c>
      <c r="T5" s="69">
        <v>2</v>
      </c>
      <c r="U5" s="69">
        <v>2</v>
      </c>
      <c r="V5" s="69">
        <v>2</v>
      </c>
      <c r="W5" s="69">
        <v>25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10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2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25</v>
      </c>
      <c r="K8" s="44">
        <v>7</v>
      </c>
      <c r="L8" s="44">
        <v>7</v>
      </c>
      <c r="M8" s="44">
        <v>-3</v>
      </c>
      <c r="N8" s="44">
        <v>-3</v>
      </c>
      <c r="O8" s="44">
        <v>2</v>
      </c>
      <c r="P8" s="44">
        <v>2</v>
      </c>
      <c r="Q8" s="44">
        <v>10</v>
      </c>
      <c r="R8" s="44">
        <v>7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-20</v>
      </c>
      <c r="K9" s="44">
        <v>-12</v>
      </c>
      <c r="L9" s="44">
        <v>-12</v>
      </c>
      <c r="M9" s="44">
        <v>-15</v>
      </c>
      <c r="N9" s="44">
        <v>-20</v>
      </c>
      <c r="O9" s="44">
        <v>10</v>
      </c>
      <c r="P9" s="44">
        <v>-5</v>
      </c>
      <c r="Q9" s="44">
        <v>-5</v>
      </c>
      <c r="R9" s="44">
        <v>40</v>
      </c>
      <c r="S9" s="44">
        <v>-15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30</v>
      </c>
      <c r="K10" s="44">
        <v>25</v>
      </c>
      <c r="L10" s="44">
        <v>25</v>
      </c>
      <c r="M10" s="44">
        <v>40</v>
      </c>
      <c r="N10" s="44">
        <v>-20</v>
      </c>
      <c r="O10" s="44">
        <v>-5</v>
      </c>
      <c r="P10" s="44">
        <v>0</v>
      </c>
      <c r="Q10" s="44">
        <v>15</v>
      </c>
      <c r="R10" s="44">
        <v>-15</v>
      </c>
      <c r="S10" s="44">
        <v>-5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-20</v>
      </c>
      <c r="K11" s="44">
        <v>-7</v>
      </c>
      <c r="L11" s="44">
        <v>-7</v>
      </c>
      <c r="M11" s="44">
        <v>-12</v>
      </c>
      <c r="N11" s="44">
        <v>5</v>
      </c>
      <c r="O11" s="44">
        <v>3</v>
      </c>
      <c r="P11" s="44">
        <v>0</v>
      </c>
      <c r="Q11" s="44">
        <v>-7</v>
      </c>
      <c r="R11" s="44">
        <v>-7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-15</v>
      </c>
      <c r="K12" s="50">
        <v>-3</v>
      </c>
      <c r="L12" s="50">
        <v>2</v>
      </c>
      <c r="M12" s="50">
        <v>2</v>
      </c>
      <c r="N12" s="50">
        <v>10</v>
      </c>
      <c r="O12" s="50">
        <v>7</v>
      </c>
      <c r="P12" s="50">
        <v>-3</v>
      </c>
      <c r="Q12" s="50">
        <v>-3</v>
      </c>
      <c r="R12" s="50">
        <v>2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0</v>
      </c>
      <c r="K13" s="50">
        <v>-20</v>
      </c>
      <c r="L13" s="50">
        <v>10</v>
      </c>
      <c r="M13" s="50">
        <v>-5</v>
      </c>
      <c r="N13" s="50">
        <v>-5</v>
      </c>
      <c r="O13" s="50">
        <v>-12</v>
      </c>
      <c r="P13" s="50">
        <v>-15</v>
      </c>
      <c r="Q13" s="50">
        <v>-20</v>
      </c>
      <c r="R13" s="50">
        <v>40</v>
      </c>
      <c r="S13" s="50">
        <v>-15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50</v>
      </c>
      <c r="K14" s="50">
        <v>-20</v>
      </c>
      <c r="L14" s="50">
        <v>-5</v>
      </c>
      <c r="M14" s="50">
        <v>0</v>
      </c>
      <c r="N14" s="50">
        <v>15</v>
      </c>
      <c r="O14" s="50">
        <v>25</v>
      </c>
      <c r="P14" s="50">
        <v>40</v>
      </c>
      <c r="Q14" s="50">
        <v>-20</v>
      </c>
      <c r="R14" s="50">
        <v>-5</v>
      </c>
      <c r="S14" s="50">
        <v>-5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7</v>
      </c>
      <c r="K15" s="50">
        <v>5</v>
      </c>
      <c r="L15" s="50">
        <v>3</v>
      </c>
      <c r="M15" s="50">
        <v>0</v>
      </c>
      <c r="N15" s="50">
        <v>-7</v>
      </c>
      <c r="O15" s="50">
        <v>-7</v>
      </c>
      <c r="P15" s="50">
        <v>-12</v>
      </c>
      <c r="Q15" s="50">
        <v>5</v>
      </c>
      <c r="R15" s="50">
        <v>3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-20</v>
      </c>
      <c r="K16" s="57">
        <v>-30</v>
      </c>
      <c r="L16" s="57">
        <v>-5</v>
      </c>
      <c r="M16" s="57">
        <v>-10</v>
      </c>
      <c r="N16" s="57">
        <v>-8</v>
      </c>
      <c r="O16" s="57">
        <v>5</v>
      </c>
      <c r="P16" s="57">
        <v>10</v>
      </c>
      <c r="Q16" s="57">
        <v>8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-20</v>
      </c>
      <c r="K25" s="64">
        <f t="shared" si="3"/>
        <v>-12</v>
      </c>
      <c r="L25" s="64">
        <f t="shared" si="3"/>
        <v>-12</v>
      </c>
      <c r="M25" s="64">
        <f t="shared" si="3"/>
        <v>-15</v>
      </c>
      <c r="N25" s="64">
        <f t="shared" si="3"/>
        <v>-20</v>
      </c>
      <c r="O25" s="64">
        <f t="shared" si="3"/>
        <v>10</v>
      </c>
      <c r="P25" s="64">
        <f t="shared" si="3"/>
        <v>-5</v>
      </c>
      <c r="Q25" s="64">
        <f t="shared" si="3"/>
        <v>-5</v>
      </c>
      <c r="R25" s="64">
        <f t="shared" si="3"/>
        <v>40</v>
      </c>
      <c r="S25" s="64">
        <f t="shared" si="3"/>
        <v>-15</v>
      </c>
      <c r="T25" s="64">
        <f t="shared" si="3"/>
        <v>0</v>
      </c>
      <c r="U25" s="64">
        <f t="shared" si="3"/>
        <v>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30</v>
      </c>
      <c r="K26" s="64">
        <f t="shared" si="3"/>
        <v>25</v>
      </c>
      <c r="L26" s="64">
        <f t="shared" si="3"/>
        <v>25</v>
      </c>
      <c r="M26" s="64">
        <f t="shared" si="3"/>
        <v>40</v>
      </c>
      <c r="N26" s="64">
        <f t="shared" si="3"/>
        <v>-20</v>
      </c>
      <c r="O26" s="64">
        <f t="shared" si="3"/>
        <v>-5</v>
      </c>
      <c r="P26" s="64">
        <f t="shared" si="3"/>
        <v>0</v>
      </c>
      <c r="Q26" s="64">
        <f t="shared" si="3"/>
        <v>15</v>
      </c>
      <c r="R26" s="64">
        <f t="shared" si="3"/>
        <v>-15</v>
      </c>
      <c r="S26" s="64">
        <f t="shared" si="3"/>
        <v>-5</v>
      </c>
      <c r="T26" s="64">
        <f t="shared" si="3"/>
        <v>0</v>
      </c>
      <c r="U26" s="64">
        <f t="shared" si="3"/>
        <v>0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0</v>
      </c>
      <c r="K27" s="64">
        <f t="shared" si="5"/>
        <v>-20</v>
      </c>
      <c r="L27" s="64">
        <f t="shared" si="5"/>
        <v>10</v>
      </c>
      <c r="M27" s="64">
        <f t="shared" si="5"/>
        <v>-5</v>
      </c>
      <c r="N27" s="64">
        <f t="shared" si="5"/>
        <v>-5</v>
      </c>
      <c r="O27" s="64">
        <f t="shared" si="5"/>
        <v>-12</v>
      </c>
      <c r="P27" s="64">
        <f t="shared" si="5"/>
        <v>-15</v>
      </c>
      <c r="Q27" s="64">
        <f t="shared" si="5"/>
        <v>-20</v>
      </c>
      <c r="R27" s="64">
        <f t="shared" si="5"/>
        <v>40</v>
      </c>
      <c r="S27" s="64">
        <f t="shared" si="5"/>
        <v>-15</v>
      </c>
      <c r="T27" s="64">
        <f t="shared" si="5"/>
        <v>0</v>
      </c>
      <c r="U27" s="64">
        <f t="shared" si="5"/>
        <v>0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50</v>
      </c>
      <c r="K28" s="64">
        <f t="shared" si="5"/>
        <v>-20</v>
      </c>
      <c r="L28" s="64">
        <f t="shared" si="5"/>
        <v>-5</v>
      </c>
      <c r="M28" s="64">
        <f t="shared" si="5"/>
        <v>0</v>
      </c>
      <c r="N28" s="64">
        <f t="shared" si="5"/>
        <v>15</v>
      </c>
      <c r="O28" s="64">
        <f t="shared" si="5"/>
        <v>25</v>
      </c>
      <c r="P28" s="64">
        <f t="shared" si="5"/>
        <v>40</v>
      </c>
      <c r="Q28" s="64">
        <f t="shared" si="5"/>
        <v>-20</v>
      </c>
      <c r="R28" s="64">
        <f t="shared" si="5"/>
        <v>-5</v>
      </c>
      <c r="S28" s="64">
        <f t="shared" si="5"/>
        <v>-5</v>
      </c>
      <c r="T28" s="64">
        <f t="shared" si="5"/>
        <v>0</v>
      </c>
      <c r="U28" s="64">
        <f t="shared" si="5"/>
        <v>0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0</v>
      </c>
      <c r="K29" s="64">
        <f t="shared" si="6"/>
        <v>0</v>
      </c>
      <c r="L29" s="64">
        <f t="shared" si="6"/>
        <v>0</v>
      </c>
      <c r="M29" s="64">
        <f t="shared" si="6"/>
        <v>0</v>
      </c>
      <c r="N29" s="64">
        <f t="shared" si="6"/>
        <v>0</v>
      </c>
      <c r="O29" s="64">
        <f t="shared" si="6"/>
        <v>0</v>
      </c>
      <c r="P29" s="64">
        <f t="shared" si="6"/>
        <v>0</v>
      </c>
      <c r="Q29" s="64">
        <f t="shared" si="6"/>
        <v>0</v>
      </c>
      <c r="R29" s="64">
        <f t="shared" si="6"/>
        <v>0</v>
      </c>
      <c r="S29" s="64">
        <f t="shared" si="6"/>
        <v>0</v>
      </c>
      <c r="T29" s="64">
        <f t="shared" si="6"/>
        <v>0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0</v>
      </c>
      <c r="K30" s="64">
        <f t="shared" si="7"/>
        <v>0</v>
      </c>
      <c r="L30" s="64">
        <f t="shared" si="7"/>
        <v>0</v>
      </c>
      <c r="M30" s="64">
        <f t="shared" si="7"/>
        <v>0</v>
      </c>
      <c r="N30" s="64">
        <f t="shared" si="7"/>
        <v>0</v>
      </c>
      <c r="O30" s="64">
        <f t="shared" si="7"/>
        <v>0</v>
      </c>
      <c r="P30" s="64">
        <f t="shared" si="7"/>
        <v>0</v>
      </c>
      <c r="Q30" s="64">
        <f t="shared" si="7"/>
        <v>0</v>
      </c>
      <c r="R30" s="64">
        <f t="shared" si="7"/>
        <v>0</v>
      </c>
      <c r="S30" s="64">
        <f t="shared" si="7"/>
        <v>0</v>
      </c>
      <c r="T30" s="64">
        <f t="shared" si="7"/>
        <v>0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25</v>
      </c>
      <c r="K35" s="74">
        <f t="shared" ref="K35:Z35" si="8">K8</f>
        <v>7</v>
      </c>
      <c r="L35" s="74">
        <f t="shared" si="8"/>
        <v>7</v>
      </c>
      <c r="M35" s="74">
        <f t="shared" si="8"/>
        <v>-3</v>
      </c>
      <c r="N35" s="74">
        <f t="shared" si="8"/>
        <v>-3</v>
      </c>
      <c r="O35" s="74">
        <f t="shared" si="8"/>
        <v>2</v>
      </c>
      <c r="P35" s="74">
        <f t="shared" si="8"/>
        <v>2</v>
      </c>
      <c r="Q35" s="74">
        <f t="shared" si="8"/>
        <v>10</v>
      </c>
      <c r="R35" s="74">
        <f t="shared" si="8"/>
        <v>7</v>
      </c>
      <c r="S35" s="74">
        <f t="shared" si="8"/>
        <v>0</v>
      </c>
      <c r="T35" s="74">
        <f t="shared" si="8"/>
        <v>0</v>
      </c>
      <c r="U35" s="74">
        <f t="shared" si="8"/>
        <v>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-25</v>
      </c>
      <c r="K36" s="74">
        <f t="shared" ref="K36:Z36" si="9">K9-5</f>
        <v>-17</v>
      </c>
      <c r="L36" s="74">
        <f t="shared" si="9"/>
        <v>-17</v>
      </c>
      <c r="M36" s="74">
        <f t="shared" si="9"/>
        <v>-20</v>
      </c>
      <c r="N36" s="74">
        <f t="shared" si="9"/>
        <v>-25</v>
      </c>
      <c r="O36" s="74">
        <f t="shared" si="9"/>
        <v>5</v>
      </c>
      <c r="P36" s="74">
        <f t="shared" si="9"/>
        <v>-10</v>
      </c>
      <c r="Q36" s="74">
        <f t="shared" si="9"/>
        <v>-10</v>
      </c>
      <c r="R36" s="74">
        <f t="shared" si="9"/>
        <v>35</v>
      </c>
      <c r="S36" s="74">
        <f t="shared" si="9"/>
        <v>-20</v>
      </c>
      <c r="T36" s="74">
        <f t="shared" si="9"/>
        <v>-5</v>
      </c>
      <c r="U36" s="74">
        <f t="shared" si="9"/>
        <v>-5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35</v>
      </c>
      <c r="K37" s="74">
        <f t="shared" ref="K37:Z37" si="10">K10+5</f>
        <v>30</v>
      </c>
      <c r="L37" s="74">
        <f t="shared" si="10"/>
        <v>30</v>
      </c>
      <c r="M37" s="74">
        <f t="shared" si="10"/>
        <v>45</v>
      </c>
      <c r="N37" s="74">
        <f t="shared" si="10"/>
        <v>-15</v>
      </c>
      <c r="O37" s="74">
        <f t="shared" si="10"/>
        <v>0</v>
      </c>
      <c r="P37" s="74">
        <f t="shared" si="10"/>
        <v>5</v>
      </c>
      <c r="Q37" s="74">
        <f t="shared" si="10"/>
        <v>20</v>
      </c>
      <c r="R37" s="74">
        <f t="shared" si="10"/>
        <v>-10</v>
      </c>
      <c r="S37" s="74">
        <f t="shared" si="10"/>
        <v>0</v>
      </c>
      <c r="T37" s="74">
        <f t="shared" si="10"/>
        <v>5</v>
      </c>
      <c r="U37" s="74">
        <f t="shared" si="10"/>
        <v>5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Y42" si="11">J11</f>
        <v>-20</v>
      </c>
      <c r="K38" s="74">
        <f t="shared" si="11"/>
        <v>-7</v>
      </c>
      <c r="L38" s="74">
        <f t="shared" si="11"/>
        <v>-7</v>
      </c>
      <c r="M38" s="74">
        <f t="shared" si="11"/>
        <v>-12</v>
      </c>
      <c r="N38" s="74">
        <f t="shared" si="11"/>
        <v>5</v>
      </c>
      <c r="O38" s="74">
        <f t="shared" si="11"/>
        <v>3</v>
      </c>
      <c r="P38" s="74">
        <f t="shared" si="11"/>
        <v>0</v>
      </c>
      <c r="Q38" s="74">
        <f t="shared" si="11"/>
        <v>-7</v>
      </c>
      <c r="R38" s="74">
        <f t="shared" si="11"/>
        <v>-7</v>
      </c>
      <c r="S38" s="74">
        <f t="shared" si="11"/>
        <v>0</v>
      </c>
      <c r="T38" s="74">
        <f t="shared" si="11"/>
        <v>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ref="K38:Z42" si="12">Z11</f>
        <v>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-15</v>
      </c>
      <c r="K39" s="74">
        <f t="shared" si="12"/>
        <v>-3</v>
      </c>
      <c r="L39" s="74">
        <f t="shared" si="12"/>
        <v>2</v>
      </c>
      <c r="M39" s="74">
        <f t="shared" si="12"/>
        <v>2</v>
      </c>
      <c r="N39" s="74">
        <f t="shared" si="12"/>
        <v>10</v>
      </c>
      <c r="O39" s="74">
        <f t="shared" si="12"/>
        <v>7</v>
      </c>
      <c r="P39" s="74">
        <f t="shared" si="12"/>
        <v>-3</v>
      </c>
      <c r="Q39" s="74">
        <f t="shared" si="12"/>
        <v>-3</v>
      </c>
      <c r="R39" s="74">
        <f t="shared" si="12"/>
        <v>2</v>
      </c>
      <c r="S39" s="74">
        <f t="shared" si="12"/>
        <v>0</v>
      </c>
      <c r="T39" s="74">
        <f t="shared" si="12"/>
        <v>0</v>
      </c>
      <c r="U39" s="74">
        <f t="shared" si="12"/>
        <v>0</v>
      </c>
      <c r="V39" s="74">
        <f t="shared" si="12"/>
        <v>0</v>
      </c>
      <c r="W39" s="74">
        <f t="shared" si="12"/>
        <v>0</v>
      </c>
      <c r="X39" s="74">
        <f t="shared" si="12"/>
        <v>0</v>
      </c>
      <c r="Y39" s="74">
        <f t="shared" si="12"/>
        <v>0</v>
      </c>
      <c r="Z39" s="74">
        <f t="shared" si="12"/>
        <v>0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-5</v>
      </c>
      <c r="K40" s="74">
        <f t="shared" ref="K40:Z40" si="13">K13-5</f>
        <v>-25</v>
      </c>
      <c r="L40" s="74">
        <f t="shared" si="13"/>
        <v>5</v>
      </c>
      <c r="M40" s="74">
        <f t="shared" si="13"/>
        <v>-10</v>
      </c>
      <c r="N40" s="74">
        <f t="shared" si="13"/>
        <v>-10</v>
      </c>
      <c r="O40" s="74">
        <f t="shared" si="13"/>
        <v>-17</v>
      </c>
      <c r="P40" s="74">
        <f t="shared" si="13"/>
        <v>-20</v>
      </c>
      <c r="Q40" s="74">
        <f t="shared" si="13"/>
        <v>-25</v>
      </c>
      <c r="R40" s="74">
        <f t="shared" si="13"/>
        <v>35</v>
      </c>
      <c r="S40" s="74">
        <f t="shared" si="13"/>
        <v>-20</v>
      </c>
      <c r="T40" s="74">
        <f t="shared" si="13"/>
        <v>-5</v>
      </c>
      <c r="U40" s="74">
        <f t="shared" si="13"/>
        <v>-5</v>
      </c>
      <c r="V40" s="74">
        <f t="shared" si="13"/>
        <v>-5</v>
      </c>
      <c r="W40" s="74">
        <f t="shared" si="13"/>
        <v>-5</v>
      </c>
      <c r="X40" s="74">
        <f t="shared" si="13"/>
        <v>-5</v>
      </c>
      <c r="Y40" s="74">
        <f t="shared" si="13"/>
        <v>-5</v>
      </c>
      <c r="Z40" s="74">
        <f t="shared" si="13"/>
        <v>-5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55</v>
      </c>
      <c r="K41" s="74">
        <f t="shared" ref="K41:Z41" si="14">K14+5</f>
        <v>-15</v>
      </c>
      <c r="L41" s="74">
        <f t="shared" si="14"/>
        <v>0</v>
      </c>
      <c r="M41" s="74">
        <f t="shared" si="14"/>
        <v>5</v>
      </c>
      <c r="N41" s="74">
        <f t="shared" si="14"/>
        <v>20</v>
      </c>
      <c r="O41" s="74">
        <f t="shared" si="14"/>
        <v>30</v>
      </c>
      <c r="P41" s="74">
        <f t="shared" si="14"/>
        <v>45</v>
      </c>
      <c r="Q41" s="74">
        <f t="shared" si="14"/>
        <v>-15</v>
      </c>
      <c r="R41" s="74">
        <f t="shared" si="14"/>
        <v>0</v>
      </c>
      <c r="S41" s="74">
        <f t="shared" si="14"/>
        <v>0</v>
      </c>
      <c r="T41" s="74">
        <f t="shared" si="14"/>
        <v>5</v>
      </c>
      <c r="U41" s="74">
        <f t="shared" si="14"/>
        <v>5</v>
      </c>
      <c r="V41" s="74">
        <f t="shared" si="14"/>
        <v>5</v>
      </c>
      <c r="W41" s="74">
        <f t="shared" si="14"/>
        <v>5</v>
      </c>
      <c r="X41" s="74">
        <f t="shared" si="14"/>
        <v>5</v>
      </c>
      <c r="Y41" s="74">
        <f t="shared" si="14"/>
        <v>5</v>
      </c>
      <c r="Z41" s="74">
        <f t="shared" si="14"/>
        <v>5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7</v>
      </c>
      <c r="K42" s="74">
        <f t="shared" si="12"/>
        <v>5</v>
      </c>
      <c r="L42" s="74">
        <f t="shared" si="12"/>
        <v>3</v>
      </c>
      <c r="M42" s="74">
        <f t="shared" si="12"/>
        <v>0</v>
      </c>
      <c r="N42" s="74">
        <f t="shared" si="12"/>
        <v>-7</v>
      </c>
      <c r="O42" s="74">
        <f t="shared" si="12"/>
        <v>-7</v>
      </c>
      <c r="P42" s="74">
        <f t="shared" si="12"/>
        <v>-12</v>
      </c>
      <c r="Q42" s="74">
        <f t="shared" si="12"/>
        <v>5</v>
      </c>
      <c r="R42" s="74">
        <f t="shared" si="12"/>
        <v>3</v>
      </c>
      <c r="S42" s="74">
        <f t="shared" si="12"/>
        <v>0</v>
      </c>
      <c r="T42" s="74">
        <f t="shared" si="12"/>
        <v>0</v>
      </c>
      <c r="U42" s="74">
        <f t="shared" si="12"/>
        <v>0</v>
      </c>
      <c r="V42" s="74">
        <f t="shared" si="12"/>
        <v>0</v>
      </c>
      <c r="W42" s="74">
        <f t="shared" si="12"/>
        <v>0</v>
      </c>
      <c r="X42" s="74">
        <f t="shared" si="12"/>
        <v>0</v>
      </c>
      <c r="Y42" s="74">
        <f t="shared" si="12"/>
        <v>0</v>
      </c>
      <c r="Z42" s="74">
        <f t="shared" si="12"/>
        <v>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A1:AB57"/>
  <sheetViews>
    <sheetView topLeftCell="D1" workbookViewId="0">
      <selection activeCell="S23" sqref="S23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5"/>
      <c r="D1" s="65"/>
      <c r="E1" s="25"/>
      <c r="F1" s="25"/>
      <c r="G1" s="19"/>
      <c r="H1" s="22"/>
      <c r="I1" s="23"/>
      <c r="J1" s="23"/>
      <c r="K1" s="23"/>
      <c r="L1" s="23"/>
      <c r="M1" s="23"/>
      <c r="N1" s="23"/>
      <c r="O1" s="23"/>
      <c r="P1" s="23">
        <v>3</v>
      </c>
      <c r="Q1" s="23"/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2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50</v>
      </c>
      <c r="K3" s="67" t="s">
        <v>51</v>
      </c>
      <c r="L3" s="67" t="s">
        <v>52</v>
      </c>
      <c r="M3" s="67" t="s">
        <v>53</v>
      </c>
      <c r="N3" s="67" t="s">
        <v>54</v>
      </c>
      <c r="O3" s="67" t="s">
        <v>55</v>
      </c>
      <c r="P3" s="67" t="s">
        <v>56</v>
      </c>
      <c r="Q3" s="67" t="s">
        <v>57</v>
      </c>
      <c r="R3" s="67" t="s">
        <v>58</v>
      </c>
      <c r="S3" s="67" t="s">
        <v>59</v>
      </c>
      <c r="T3" s="67" t="s">
        <v>46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106</v>
      </c>
      <c r="L4" s="68">
        <f t="shared" si="0"/>
        <v>110</v>
      </c>
      <c r="M4" s="68">
        <f t="shared" si="0"/>
        <v>114</v>
      </c>
      <c r="N4" s="68">
        <f t="shared" si="0"/>
        <v>118</v>
      </c>
      <c r="O4" s="68">
        <f t="shared" si="0"/>
        <v>122</v>
      </c>
      <c r="P4" s="68">
        <f t="shared" si="0"/>
        <v>126</v>
      </c>
      <c r="Q4" s="68">
        <f t="shared" si="0"/>
        <v>134</v>
      </c>
      <c r="R4" s="68">
        <f t="shared" si="0"/>
        <v>138</v>
      </c>
      <c r="S4" s="68">
        <f t="shared" si="0"/>
        <v>142</v>
      </c>
      <c r="T4" s="68">
        <f t="shared" si="0"/>
        <v>146</v>
      </c>
      <c r="U4" s="68">
        <f t="shared" si="0"/>
        <v>158</v>
      </c>
      <c r="V4" s="68">
        <f t="shared" si="0"/>
        <v>171</v>
      </c>
      <c r="W4" s="68">
        <f t="shared" si="0"/>
        <v>185</v>
      </c>
      <c r="X4" s="68">
        <f t="shared" si="0"/>
        <v>210</v>
      </c>
      <c r="Y4" s="68">
        <f t="shared" si="0"/>
        <v>310</v>
      </c>
      <c r="Z4" s="68">
        <f t="shared" si="0"/>
        <v>410</v>
      </c>
      <c r="AA4" s="68">
        <f t="shared" si="0"/>
        <v>510</v>
      </c>
      <c r="AB4" s="68">
        <f t="shared" si="0"/>
        <v>610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</v>
      </c>
      <c r="K5" s="69">
        <v>3</v>
      </c>
      <c r="L5" s="69">
        <v>3</v>
      </c>
      <c r="M5" s="69">
        <v>3</v>
      </c>
      <c r="N5" s="69">
        <v>3</v>
      </c>
      <c r="O5" s="69">
        <v>2</v>
      </c>
      <c r="P5" s="69">
        <v>4</v>
      </c>
      <c r="Q5" s="69">
        <v>2</v>
      </c>
      <c r="R5" s="69">
        <v>2</v>
      </c>
      <c r="S5" s="69">
        <v>4</v>
      </c>
      <c r="T5" s="69">
        <v>12</v>
      </c>
      <c r="U5" s="69">
        <v>13</v>
      </c>
      <c r="V5" s="69">
        <v>14</v>
      </c>
      <c r="W5" s="69">
        <v>25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33"/>
      <c r="D6" s="25"/>
      <c r="E6" s="19"/>
      <c r="F6" s="25"/>
      <c r="G6" s="32" t="s">
        <v>3</v>
      </c>
      <c r="H6" s="69">
        <v>0</v>
      </c>
      <c r="I6" s="69">
        <v>0</v>
      </c>
      <c r="J6" s="69">
        <v>2</v>
      </c>
      <c r="K6" s="69">
        <v>1</v>
      </c>
      <c r="L6" s="69">
        <v>1</v>
      </c>
      <c r="M6" s="69">
        <v>1</v>
      </c>
      <c r="N6" s="69">
        <v>1</v>
      </c>
      <c r="O6" s="69">
        <v>2</v>
      </c>
      <c r="P6" s="69">
        <v>4</v>
      </c>
      <c r="Q6" s="69">
        <v>2</v>
      </c>
      <c r="R6" s="69">
        <v>2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1" t="s">
        <v>62</v>
      </c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2</v>
      </c>
      <c r="S7" s="39">
        <v>0</v>
      </c>
      <c r="T7" s="39">
        <v>0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32.820512820512818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0</v>
      </c>
      <c r="K8" s="44">
        <v>-20</v>
      </c>
      <c r="L8" s="44">
        <v>-25</v>
      </c>
      <c r="M8" s="44">
        <v>2</v>
      </c>
      <c r="N8" s="44">
        <v>10</v>
      </c>
      <c r="O8" s="44">
        <v>-4</v>
      </c>
      <c r="P8" s="44">
        <v>-12</v>
      </c>
      <c r="Q8" s="44">
        <v>-1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37.948717948717949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35</v>
      </c>
      <c r="K9" s="44">
        <v>36.5</v>
      </c>
      <c r="L9" s="44">
        <v>-3.5</v>
      </c>
      <c r="M9" s="44">
        <v>-0.5</v>
      </c>
      <c r="N9" s="44">
        <v>10</v>
      </c>
      <c r="O9" s="44">
        <v>3.5</v>
      </c>
      <c r="P9" s="44">
        <v>36.5</v>
      </c>
      <c r="Q9" s="44">
        <v>10.5</v>
      </c>
      <c r="R9" s="44">
        <v>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22.564102564102566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35</v>
      </c>
      <c r="K10" s="44">
        <v>49.100000000000009</v>
      </c>
      <c r="L10" s="44">
        <v>-20.899999999999991</v>
      </c>
      <c r="M10" s="44">
        <v>-17.899999999999991</v>
      </c>
      <c r="N10" s="44">
        <v>-20</v>
      </c>
      <c r="O10" s="44">
        <v>-3.8999999999999915</v>
      </c>
      <c r="P10" s="44">
        <v>19.100000000000001</v>
      </c>
      <c r="Q10" s="44">
        <v>-10.899999999999999</v>
      </c>
      <c r="R10" s="44">
        <v>0</v>
      </c>
      <c r="S10" s="44">
        <v>0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45.641025641025642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10</v>
      </c>
      <c r="K11" s="44">
        <v>12.300000000000011</v>
      </c>
      <c r="L11" s="44">
        <v>2.3000000000000114</v>
      </c>
      <c r="M11" s="44">
        <v>-5.6999999999999886</v>
      </c>
      <c r="N11" s="44">
        <v>-5.6999999999999886</v>
      </c>
      <c r="O11" s="44">
        <v>0.30000000000001137</v>
      </c>
      <c r="P11" s="44">
        <v>10</v>
      </c>
      <c r="Q11" s="44">
        <v>-2.6999999999999886</v>
      </c>
      <c r="R11" s="44">
        <v>0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25.128205128205128</v>
      </c>
      <c r="D12" s="17">
        <v>1</v>
      </c>
      <c r="E12" s="49">
        <f>IF(E8=0,1,0)</f>
        <v>0</v>
      </c>
      <c r="F12" s="50">
        <v>50</v>
      </c>
      <c r="G12" s="50">
        <v>3</v>
      </c>
      <c r="H12" s="50">
        <v>0</v>
      </c>
      <c r="I12" s="50">
        <v>0</v>
      </c>
      <c r="J12" s="50">
        <v>15.599999999999994</v>
      </c>
      <c r="K12" s="50">
        <v>15.599999999999994</v>
      </c>
      <c r="L12" s="50">
        <v>10.599999999999994</v>
      </c>
      <c r="M12" s="50">
        <v>10.599999999999994</v>
      </c>
      <c r="N12" s="50">
        <v>-9.4000000000000057</v>
      </c>
      <c r="O12" s="50">
        <v>-9.4000000000000057</v>
      </c>
      <c r="P12" s="50">
        <v>-9.4000000000000057</v>
      </c>
      <c r="Q12" s="50">
        <v>-3.4000000000000057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53.333333333333336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-0.30000000000000426</v>
      </c>
      <c r="K13" s="50">
        <v>-0.30000000000000426</v>
      </c>
      <c r="L13" s="50">
        <v>0.69999999999999574</v>
      </c>
      <c r="M13" s="50">
        <v>0.69999999999999574</v>
      </c>
      <c r="N13" s="50">
        <v>4.7</v>
      </c>
      <c r="O13" s="50">
        <v>-25.299999999999997</v>
      </c>
      <c r="P13" s="50">
        <v>14.7</v>
      </c>
      <c r="Q13" s="50">
        <v>8.6999999999999993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66.15384615384616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-4.5999999999999943</v>
      </c>
      <c r="K14" s="50">
        <v>-4.5999999999999943</v>
      </c>
      <c r="L14" s="50">
        <v>-3.5999999999999943</v>
      </c>
      <c r="M14" s="50">
        <v>-3.5999999999999943</v>
      </c>
      <c r="N14" s="50">
        <v>-11.6</v>
      </c>
      <c r="O14" s="50">
        <v>-29.599999999999994</v>
      </c>
      <c r="P14" s="50">
        <v>5.3999999999999986</v>
      </c>
      <c r="Q14" s="50">
        <v>-5.6000000000000014</v>
      </c>
      <c r="R14" s="50">
        <v>0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22.564102564102566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-0.40000000000000568</v>
      </c>
      <c r="K15" s="50">
        <v>-0.40000000000000568</v>
      </c>
      <c r="L15" s="50">
        <v>-20.400000000000006</v>
      </c>
      <c r="M15" s="50">
        <v>-5.4000000000000057</v>
      </c>
      <c r="N15" s="50">
        <v>-13.400000000000006</v>
      </c>
      <c r="O15" s="50">
        <v>4.5999999999999943</v>
      </c>
      <c r="P15" s="50">
        <v>4.5999999999999943</v>
      </c>
      <c r="Q15" s="50">
        <v>-0.40000000000000568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22.564102564102566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0</v>
      </c>
      <c r="K16" s="57">
        <v>0</v>
      </c>
      <c r="L16" s="57">
        <v>0</v>
      </c>
      <c r="M16" s="57">
        <v>0</v>
      </c>
      <c r="N16" s="57">
        <v>0</v>
      </c>
      <c r="O16" s="57">
        <v>0</v>
      </c>
      <c r="P16" s="57">
        <v>0</v>
      </c>
      <c r="Q16" s="57">
        <v>0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27.692307692307693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17.435897435897434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25.128205128205128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43.07692307692308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22.564102564102566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35.384615384615387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27.692307692307693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30.256410256410255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30.256410256410255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5" si="3">H9</f>
        <v>0</v>
      </c>
      <c r="I25" s="64">
        <f t="shared" si="3"/>
        <v>0</v>
      </c>
      <c r="J25" s="64">
        <f t="shared" si="3"/>
        <v>35</v>
      </c>
      <c r="K25" s="64">
        <f t="shared" si="3"/>
        <v>36.5</v>
      </c>
      <c r="L25" s="64">
        <f t="shared" si="3"/>
        <v>-3.5</v>
      </c>
      <c r="M25" s="64">
        <f t="shared" si="3"/>
        <v>-0.5</v>
      </c>
      <c r="N25" s="64">
        <f t="shared" si="3"/>
        <v>10</v>
      </c>
      <c r="O25" s="64">
        <f t="shared" si="3"/>
        <v>3.5</v>
      </c>
      <c r="P25" s="64">
        <f t="shared" si="3"/>
        <v>36.5</v>
      </c>
      <c r="Q25" s="64">
        <f t="shared" si="3"/>
        <v>10.5</v>
      </c>
      <c r="R25" s="64">
        <f t="shared" si="3"/>
        <v>0</v>
      </c>
      <c r="S25" s="64">
        <f t="shared" si="3"/>
        <v>0</v>
      </c>
      <c r="T25" s="64">
        <f t="shared" si="3"/>
        <v>0</v>
      </c>
      <c r="U25" s="64">
        <f t="shared" si="3"/>
        <v>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48.205128205128204</v>
      </c>
      <c r="D26" s="61"/>
      <c r="E26" s="62">
        <f>E10</f>
        <v>1</v>
      </c>
      <c r="F26" s="63">
        <v>-1.8</v>
      </c>
      <c r="G26" s="64">
        <f t="shared" ref="G26" si="4">G10</f>
        <v>0</v>
      </c>
      <c r="H26" s="64">
        <f t="shared" ref="H26:AB26" si="5">H10</f>
        <v>0</v>
      </c>
      <c r="I26" s="64">
        <f t="shared" si="5"/>
        <v>0</v>
      </c>
      <c r="J26" s="64">
        <f t="shared" si="5"/>
        <v>35</v>
      </c>
      <c r="K26" s="64">
        <f t="shared" si="5"/>
        <v>49.100000000000009</v>
      </c>
      <c r="L26" s="64">
        <f t="shared" si="5"/>
        <v>-20.899999999999991</v>
      </c>
      <c r="M26" s="64">
        <f t="shared" si="5"/>
        <v>-17.899999999999991</v>
      </c>
      <c r="N26" s="64">
        <f t="shared" si="5"/>
        <v>-20</v>
      </c>
      <c r="O26" s="64">
        <f t="shared" si="5"/>
        <v>-3.8999999999999915</v>
      </c>
      <c r="P26" s="64">
        <f t="shared" si="5"/>
        <v>19.100000000000001</v>
      </c>
      <c r="Q26" s="64">
        <f t="shared" si="5"/>
        <v>-10.899999999999999</v>
      </c>
      <c r="R26" s="64">
        <f t="shared" si="5"/>
        <v>0</v>
      </c>
      <c r="S26" s="64">
        <f t="shared" si="5"/>
        <v>0</v>
      </c>
      <c r="T26" s="64">
        <f t="shared" si="5"/>
        <v>0</v>
      </c>
      <c r="U26" s="64">
        <f t="shared" si="5"/>
        <v>0</v>
      </c>
      <c r="V26" s="64">
        <f t="shared" si="5"/>
        <v>0</v>
      </c>
      <c r="W26" s="64">
        <f t="shared" si="5"/>
        <v>0</v>
      </c>
      <c r="X26" s="64">
        <f t="shared" si="5"/>
        <v>0</v>
      </c>
      <c r="Y26" s="64">
        <f t="shared" si="5"/>
        <v>0</v>
      </c>
      <c r="Z26" s="64">
        <f t="shared" si="5"/>
        <v>0</v>
      </c>
      <c r="AA26" s="64">
        <f t="shared" si="5"/>
        <v>0</v>
      </c>
      <c r="AB26" s="64">
        <f t="shared" si="5"/>
        <v>0</v>
      </c>
    </row>
    <row r="27" spans="1:28">
      <c r="A27" s="58" t="s">
        <v>12</v>
      </c>
      <c r="B27" s="59">
        <v>9</v>
      </c>
      <c r="C27" s="60">
        <v>37.948717948717949</v>
      </c>
      <c r="D27" s="61"/>
      <c r="E27" s="62">
        <f>E13</f>
        <v>1</v>
      </c>
      <c r="F27" s="63">
        <v>4.8</v>
      </c>
      <c r="G27" s="64">
        <f t="shared" ref="G27:G28" si="6">G13</f>
        <v>0</v>
      </c>
      <c r="H27" s="64">
        <f t="shared" ref="H27:AB27" si="7">H13</f>
        <v>0</v>
      </c>
      <c r="I27" s="64">
        <f t="shared" si="7"/>
        <v>0</v>
      </c>
      <c r="J27" s="64">
        <f t="shared" si="7"/>
        <v>-0.30000000000000426</v>
      </c>
      <c r="K27" s="64">
        <f t="shared" si="7"/>
        <v>-0.30000000000000426</v>
      </c>
      <c r="L27" s="64">
        <f t="shared" si="7"/>
        <v>0.69999999999999574</v>
      </c>
      <c r="M27" s="64">
        <f t="shared" si="7"/>
        <v>0.69999999999999574</v>
      </c>
      <c r="N27" s="64">
        <f t="shared" si="7"/>
        <v>4.7</v>
      </c>
      <c r="O27" s="64">
        <f t="shared" si="7"/>
        <v>-25.299999999999997</v>
      </c>
      <c r="P27" s="64">
        <f t="shared" si="7"/>
        <v>14.7</v>
      </c>
      <c r="Q27" s="64">
        <f t="shared" si="7"/>
        <v>8.6999999999999993</v>
      </c>
      <c r="R27" s="64">
        <f t="shared" si="7"/>
        <v>0</v>
      </c>
      <c r="S27" s="64">
        <f t="shared" si="7"/>
        <v>0</v>
      </c>
      <c r="T27" s="64">
        <f t="shared" si="7"/>
        <v>0</v>
      </c>
      <c r="U27" s="64">
        <f t="shared" si="7"/>
        <v>0</v>
      </c>
      <c r="V27" s="64">
        <f t="shared" si="7"/>
        <v>0</v>
      </c>
      <c r="W27" s="64">
        <f t="shared" si="7"/>
        <v>0</v>
      </c>
      <c r="X27" s="64">
        <f t="shared" si="7"/>
        <v>0</v>
      </c>
      <c r="Y27" s="64">
        <f t="shared" si="7"/>
        <v>0</v>
      </c>
      <c r="Z27" s="64">
        <f t="shared" si="7"/>
        <v>0</v>
      </c>
      <c r="AA27" s="64">
        <f t="shared" si="7"/>
        <v>0</v>
      </c>
      <c r="AB27" s="64">
        <f t="shared" si="7"/>
        <v>0</v>
      </c>
    </row>
    <row r="28" spans="1:28">
      <c r="A28" s="58" t="s">
        <v>13</v>
      </c>
      <c r="B28" s="59">
        <v>11</v>
      </c>
      <c r="C28" s="60">
        <v>68.717948717948715</v>
      </c>
      <c r="D28" s="61"/>
      <c r="E28" s="62">
        <f>E14</f>
        <v>0</v>
      </c>
      <c r="F28" s="63">
        <v>-1.5</v>
      </c>
      <c r="G28" s="64">
        <f t="shared" si="6"/>
        <v>0</v>
      </c>
      <c r="H28" s="64">
        <f t="shared" ref="H28:AB28" si="8">H14</f>
        <v>0</v>
      </c>
      <c r="I28" s="64">
        <f t="shared" si="8"/>
        <v>0</v>
      </c>
      <c r="J28" s="64">
        <f t="shared" si="8"/>
        <v>-4.5999999999999943</v>
      </c>
      <c r="K28" s="64">
        <f t="shared" si="8"/>
        <v>-4.5999999999999943</v>
      </c>
      <c r="L28" s="64">
        <f t="shared" si="8"/>
        <v>-3.5999999999999943</v>
      </c>
      <c r="M28" s="64">
        <f t="shared" si="8"/>
        <v>-3.5999999999999943</v>
      </c>
      <c r="N28" s="64">
        <f t="shared" si="8"/>
        <v>-11.6</v>
      </c>
      <c r="O28" s="64">
        <f t="shared" si="8"/>
        <v>-29.599999999999994</v>
      </c>
      <c r="P28" s="64">
        <f t="shared" si="8"/>
        <v>5.3999999999999986</v>
      </c>
      <c r="Q28" s="64">
        <f t="shared" si="8"/>
        <v>-5.6000000000000014</v>
      </c>
      <c r="R28" s="64">
        <f t="shared" si="8"/>
        <v>0</v>
      </c>
      <c r="S28" s="64">
        <f t="shared" si="8"/>
        <v>0</v>
      </c>
      <c r="T28" s="64">
        <f t="shared" si="8"/>
        <v>0</v>
      </c>
      <c r="U28" s="64">
        <f t="shared" si="8"/>
        <v>0</v>
      </c>
      <c r="V28" s="64">
        <f t="shared" si="8"/>
        <v>0</v>
      </c>
      <c r="W28" s="64">
        <f t="shared" si="8"/>
        <v>0</v>
      </c>
      <c r="X28" s="64">
        <f t="shared" si="8"/>
        <v>0</v>
      </c>
      <c r="Y28" s="64">
        <f t="shared" si="8"/>
        <v>0</v>
      </c>
      <c r="Z28" s="64">
        <f t="shared" si="8"/>
        <v>0</v>
      </c>
      <c r="AA28" s="64">
        <f t="shared" si="8"/>
        <v>0</v>
      </c>
      <c r="AB28" s="64">
        <f t="shared" si="8"/>
        <v>0</v>
      </c>
    </row>
    <row r="29" spans="1:28">
      <c r="A29" s="58" t="s">
        <v>17</v>
      </c>
      <c r="B29" s="59">
        <v>16</v>
      </c>
      <c r="C29" s="60">
        <v>22.564102564102566</v>
      </c>
      <c r="D29" s="61"/>
      <c r="E29" s="62">
        <f>IF(E18=0,1,0)</f>
        <v>1</v>
      </c>
      <c r="F29" s="63">
        <v>-0.9</v>
      </c>
      <c r="G29" s="64">
        <f t="shared" ref="G29" si="9">G18</f>
        <v>0</v>
      </c>
      <c r="H29" s="64">
        <f t="shared" ref="H29:AB29" si="10">H18</f>
        <v>0</v>
      </c>
      <c r="I29" s="64">
        <f t="shared" si="10"/>
        <v>0</v>
      </c>
      <c r="J29" s="64">
        <f t="shared" si="10"/>
        <v>0</v>
      </c>
      <c r="K29" s="64">
        <f t="shared" si="10"/>
        <v>0</v>
      </c>
      <c r="L29" s="64">
        <f t="shared" si="10"/>
        <v>0</v>
      </c>
      <c r="M29" s="64">
        <f t="shared" si="10"/>
        <v>0</v>
      </c>
      <c r="N29" s="64">
        <f t="shared" si="10"/>
        <v>0</v>
      </c>
      <c r="O29" s="64">
        <f t="shared" si="10"/>
        <v>0</v>
      </c>
      <c r="P29" s="64">
        <f t="shared" si="10"/>
        <v>0</v>
      </c>
      <c r="Q29" s="64">
        <f t="shared" si="10"/>
        <v>0</v>
      </c>
      <c r="R29" s="64">
        <f t="shared" si="10"/>
        <v>0</v>
      </c>
      <c r="S29" s="64">
        <f t="shared" si="10"/>
        <v>0</v>
      </c>
      <c r="T29" s="64">
        <f t="shared" si="10"/>
        <v>0</v>
      </c>
      <c r="U29" s="64">
        <f t="shared" si="10"/>
        <v>0</v>
      </c>
      <c r="V29" s="64">
        <f t="shared" si="10"/>
        <v>0</v>
      </c>
      <c r="W29" s="64">
        <f t="shared" si="10"/>
        <v>0</v>
      </c>
      <c r="X29" s="64">
        <f t="shared" si="10"/>
        <v>0</v>
      </c>
      <c r="Y29" s="64">
        <f t="shared" si="10"/>
        <v>0</v>
      </c>
      <c r="Z29" s="64">
        <f t="shared" si="10"/>
        <v>0</v>
      </c>
      <c r="AA29" s="64">
        <f t="shared" si="10"/>
        <v>0</v>
      </c>
      <c r="AB29" s="64">
        <f t="shared" si="10"/>
        <v>0</v>
      </c>
    </row>
    <row r="30" spans="1:28">
      <c r="A30" s="58" t="s">
        <v>21</v>
      </c>
      <c r="B30" s="59">
        <v>21</v>
      </c>
      <c r="C30" s="60">
        <v>37.948717948717949</v>
      </c>
      <c r="D30" s="61"/>
      <c r="E30" s="62">
        <f>IF(E22=0,1,0)</f>
        <v>0</v>
      </c>
      <c r="F30" s="63">
        <v>1.2</v>
      </c>
      <c r="G30" s="64">
        <f t="shared" ref="G30" si="11">G22</f>
        <v>0</v>
      </c>
      <c r="H30" s="64">
        <f t="shared" ref="H30:AB30" si="12">H22</f>
        <v>0</v>
      </c>
      <c r="I30" s="64">
        <f t="shared" si="12"/>
        <v>0</v>
      </c>
      <c r="J30" s="64">
        <f t="shared" si="12"/>
        <v>0</v>
      </c>
      <c r="K30" s="64">
        <f t="shared" si="12"/>
        <v>0</v>
      </c>
      <c r="L30" s="64">
        <f t="shared" si="12"/>
        <v>0</v>
      </c>
      <c r="M30" s="64">
        <f t="shared" si="12"/>
        <v>0</v>
      </c>
      <c r="N30" s="64">
        <f t="shared" si="12"/>
        <v>0</v>
      </c>
      <c r="O30" s="64">
        <f t="shared" si="12"/>
        <v>0</v>
      </c>
      <c r="P30" s="64">
        <f t="shared" si="12"/>
        <v>0</v>
      </c>
      <c r="Q30" s="64">
        <f t="shared" si="12"/>
        <v>0</v>
      </c>
      <c r="R30" s="64">
        <f t="shared" si="12"/>
        <v>0</v>
      </c>
      <c r="S30" s="64">
        <f t="shared" si="12"/>
        <v>0</v>
      </c>
      <c r="T30" s="64">
        <f t="shared" si="12"/>
        <v>0</v>
      </c>
      <c r="U30" s="64">
        <f t="shared" si="12"/>
        <v>0</v>
      </c>
      <c r="V30" s="64">
        <f t="shared" si="12"/>
        <v>0</v>
      </c>
      <c r="W30" s="64">
        <f t="shared" si="12"/>
        <v>0</v>
      </c>
      <c r="X30" s="64">
        <f t="shared" si="12"/>
        <v>0</v>
      </c>
      <c r="Y30" s="64">
        <f t="shared" si="12"/>
        <v>0</v>
      </c>
      <c r="Z30" s="64">
        <f t="shared" si="12"/>
        <v>0</v>
      </c>
      <c r="AA30" s="64">
        <f t="shared" si="12"/>
        <v>0</v>
      </c>
      <c r="AB30" s="64">
        <f t="shared" si="12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A1:AB57"/>
  <sheetViews>
    <sheetView topLeftCell="B1" workbookViewId="0">
      <selection activeCell="S15" sqref="S15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/>
      <c r="N1" s="23"/>
      <c r="O1" s="23"/>
      <c r="P1" s="23">
        <v>3</v>
      </c>
      <c r="Q1" s="23"/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2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50</v>
      </c>
      <c r="K3" s="67" t="s">
        <v>51</v>
      </c>
      <c r="L3" s="67" t="s">
        <v>52</v>
      </c>
      <c r="M3" s="67" t="s">
        <v>53</v>
      </c>
      <c r="N3" s="67" t="s">
        <v>54</v>
      </c>
      <c r="O3" s="67" t="s">
        <v>55</v>
      </c>
      <c r="P3" s="67" t="s">
        <v>56</v>
      </c>
      <c r="Q3" s="67" t="s">
        <v>57</v>
      </c>
      <c r="R3" s="67" t="s">
        <v>58</v>
      </c>
      <c r="S3" s="67" t="s">
        <v>59</v>
      </c>
      <c r="T3" s="67" t="s">
        <v>46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106</v>
      </c>
      <c r="L4" s="68">
        <f t="shared" si="0"/>
        <v>110</v>
      </c>
      <c r="M4" s="68">
        <f t="shared" si="0"/>
        <v>114</v>
      </c>
      <c r="N4" s="68">
        <f t="shared" si="0"/>
        <v>118</v>
      </c>
      <c r="O4" s="68">
        <f t="shared" si="0"/>
        <v>122</v>
      </c>
      <c r="P4" s="68">
        <f t="shared" si="0"/>
        <v>126</v>
      </c>
      <c r="Q4" s="68">
        <f t="shared" si="0"/>
        <v>134</v>
      </c>
      <c r="R4" s="68">
        <f t="shared" si="0"/>
        <v>138</v>
      </c>
      <c r="S4" s="68">
        <f t="shared" si="0"/>
        <v>142</v>
      </c>
      <c r="T4" s="68">
        <f t="shared" si="0"/>
        <v>146</v>
      </c>
      <c r="U4" s="68">
        <f t="shared" si="0"/>
        <v>158</v>
      </c>
      <c r="V4" s="68">
        <f t="shared" si="0"/>
        <v>171</v>
      </c>
      <c r="W4" s="68">
        <f t="shared" si="0"/>
        <v>185</v>
      </c>
      <c r="X4" s="68">
        <f t="shared" si="0"/>
        <v>210</v>
      </c>
      <c r="Y4" s="68">
        <f t="shared" si="0"/>
        <v>310</v>
      </c>
      <c r="Z4" s="68">
        <f t="shared" si="0"/>
        <v>410</v>
      </c>
      <c r="AA4" s="68">
        <f t="shared" si="0"/>
        <v>510</v>
      </c>
      <c r="AB4" s="68">
        <f t="shared" si="0"/>
        <v>610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</v>
      </c>
      <c r="K5" s="69">
        <v>3</v>
      </c>
      <c r="L5" s="69">
        <v>3</v>
      </c>
      <c r="M5" s="69">
        <v>3</v>
      </c>
      <c r="N5" s="69">
        <v>3</v>
      </c>
      <c r="O5" s="69">
        <v>2</v>
      </c>
      <c r="P5" s="69">
        <v>4</v>
      </c>
      <c r="Q5" s="69">
        <v>2</v>
      </c>
      <c r="R5" s="69">
        <v>2</v>
      </c>
      <c r="S5" s="69">
        <v>4</v>
      </c>
      <c r="T5" s="69">
        <v>12</v>
      </c>
      <c r="U5" s="69">
        <v>13</v>
      </c>
      <c r="V5" s="69">
        <v>14</v>
      </c>
      <c r="W5" s="69">
        <v>25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2</v>
      </c>
      <c r="K6" s="69">
        <v>1</v>
      </c>
      <c r="L6" s="69">
        <v>1</v>
      </c>
      <c r="M6" s="69">
        <v>1</v>
      </c>
      <c r="N6" s="69">
        <v>1</v>
      </c>
      <c r="O6" s="69">
        <v>2</v>
      </c>
      <c r="P6" s="69">
        <v>4</v>
      </c>
      <c r="Q6" s="69">
        <v>2</v>
      </c>
      <c r="R6" s="69">
        <v>2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2</v>
      </c>
      <c r="S7" s="39">
        <v>0</v>
      </c>
      <c r="T7" s="39">
        <v>0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32.820512820512818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15.599999999999994</v>
      </c>
      <c r="K8" s="44">
        <v>15.599999999999994</v>
      </c>
      <c r="L8" s="44">
        <v>10.599999999999994</v>
      </c>
      <c r="M8" s="44">
        <v>10.599999999999994</v>
      </c>
      <c r="N8" s="44">
        <v>-9.4000000000000057</v>
      </c>
      <c r="O8" s="44">
        <v>-9.4000000000000057</v>
      </c>
      <c r="P8" s="44">
        <v>-9.4000000000000057</v>
      </c>
      <c r="Q8" s="44">
        <v>-3.4000000000000057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37.948717948717949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-0.30000000000000426</v>
      </c>
      <c r="K9" s="44">
        <v>-0.30000000000000426</v>
      </c>
      <c r="L9" s="44">
        <v>0.69999999999999574</v>
      </c>
      <c r="M9" s="44">
        <v>0.69999999999999574</v>
      </c>
      <c r="N9" s="44">
        <v>4.7</v>
      </c>
      <c r="O9" s="44">
        <v>-25.299999999999997</v>
      </c>
      <c r="P9" s="44">
        <v>14.7</v>
      </c>
      <c r="Q9" s="44">
        <v>8.6999999999999993</v>
      </c>
      <c r="R9" s="44">
        <v>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22.564102564102566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-4.5999999999999943</v>
      </c>
      <c r="K10" s="44">
        <v>-4.5999999999999943</v>
      </c>
      <c r="L10" s="44">
        <v>-3.5999999999999943</v>
      </c>
      <c r="M10" s="44">
        <v>-3.5999999999999943</v>
      </c>
      <c r="N10" s="44">
        <v>-11.6</v>
      </c>
      <c r="O10" s="44">
        <v>-29.599999999999994</v>
      </c>
      <c r="P10" s="44">
        <v>5.3999999999999986</v>
      </c>
      <c r="Q10" s="44">
        <v>-5.6000000000000014</v>
      </c>
      <c r="R10" s="44">
        <v>0</v>
      </c>
      <c r="S10" s="44">
        <v>0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45.641025641025642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-0.40000000000000568</v>
      </c>
      <c r="K11" s="44">
        <v>-0.40000000000000568</v>
      </c>
      <c r="L11" s="44">
        <v>-20.400000000000006</v>
      </c>
      <c r="M11" s="44">
        <v>-5.4000000000000057</v>
      </c>
      <c r="N11" s="44">
        <v>-13.400000000000006</v>
      </c>
      <c r="O11" s="44">
        <v>4.5999999999999943</v>
      </c>
      <c r="P11" s="44">
        <v>4.5999999999999943</v>
      </c>
      <c r="Q11" s="44">
        <v>-0.40000000000000568</v>
      </c>
      <c r="R11" s="44">
        <v>0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25.128205128205128</v>
      </c>
      <c r="D12" s="17">
        <v>1</v>
      </c>
      <c r="E12" s="49">
        <f>IF(E8=0,1,0)</f>
        <v>0</v>
      </c>
      <c r="F12" s="50">
        <v>50</v>
      </c>
      <c r="G12" s="50">
        <v>3</v>
      </c>
      <c r="H12" s="50">
        <v>0</v>
      </c>
      <c r="I12" s="50">
        <v>0</v>
      </c>
      <c r="J12" s="50">
        <v>0</v>
      </c>
      <c r="K12" s="50">
        <v>-20</v>
      </c>
      <c r="L12" s="50">
        <v>-25</v>
      </c>
      <c r="M12" s="50">
        <v>2</v>
      </c>
      <c r="N12" s="50">
        <v>10</v>
      </c>
      <c r="O12" s="50">
        <v>-4</v>
      </c>
      <c r="P12" s="50">
        <v>-12</v>
      </c>
      <c r="Q12" s="50">
        <v>-1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53.333333333333336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35</v>
      </c>
      <c r="K13" s="50">
        <v>36.5</v>
      </c>
      <c r="L13" s="50">
        <v>-3.5</v>
      </c>
      <c r="M13" s="50">
        <v>-0.5</v>
      </c>
      <c r="N13" s="50">
        <v>10</v>
      </c>
      <c r="O13" s="50">
        <v>3.5</v>
      </c>
      <c r="P13" s="50">
        <v>36.5</v>
      </c>
      <c r="Q13" s="50">
        <v>10.5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66.15384615384616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35</v>
      </c>
      <c r="K14" s="50">
        <v>49.100000000000009</v>
      </c>
      <c r="L14" s="50">
        <v>-20.899999999999991</v>
      </c>
      <c r="M14" s="50">
        <v>-17.899999999999991</v>
      </c>
      <c r="N14" s="50">
        <v>-20</v>
      </c>
      <c r="O14" s="50">
        <v>-3.8999999999999915</v>
      </c>
      <c r="P14" s="50">
        <v>19.100000000000001</v>
      </c>
      <c r="Q14" s="50">
        <v>-10.899999999999999</v>
      </c>
      <c r="R14" s="50">
        <v>0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22.564102564102566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10</v>
      </c>
      <c r="K15" s="50">
        <v>12.300000000000011</v>
      </c>
      <c r="L15" s="50">
        <v>2.3000000000000114</v>
      </c>
      <c r="M15" s="50">
        <v>-5.6999999999999886</v>
      </c>
      <c r="N15" s="50">
        <v>-5.6999999999999886</v>
      </c>
      <c r="O15" s="50">
        <v>0.30000000000001137</v>
      </c>
      <c r="P15" s="50">
        <v>10</v>
      </c>
      <c r="Q15" s="50">
        <v>-2.6999999999999886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22.564102564102566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0</v>
      </c>
      <c r="K16" s="57">
        <v>0</v>
      </c>
      <c r="L16" s="57">
        <v>0</v>
      </c>
      <c r="M16" s="57">
        <v>0</v>
      </c>
      <c r="N16" s="57">
        <v>0</v>
      </c>
      <c r="O16" s="57">
        <v>0</v>
      </c>
      <c r="P16" s="57">
        <v>0</v>
      </c>
      <c r="Q16" s="57">
        <v>0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27.692307692307693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17.435897435897434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25.128205128205128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43.07692307692308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22.564102564102566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35.384615384615387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27.692307692307693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30.256410256410255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30.256410256410255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5" si="3">H9</f>
        <v>0</v>
      </c>
      <c r="I25" s="64">
        <f t="shared" si="3"/>
        <v>0</v>
      </c>
      <c r="J25" s="64">
        <f t="shared" si="3"/>
        <v>-0.30000000000000426</v>
      </c>
      <c r="K25" s="64">
        <f t="shared" si="3"/>
        <v>-0.30000000000000426</v>
      </c>
      <c r="L25" s="64">
        <f t="shared" si="3"/>
        <v>0.69999999999999574</v>
      </c>
      <c r="M25" s="64">
        <f t="shared" si="3"/>
        <v>0.69999999999999574</v>
      </c>
      <c r="N25" s="64">
        <f t="shared" si="3"/>
        <v>4.7</v>
      </c>
      <c r="O25" s="64">
        <f t="shared" si="3"/>
        <v>-25.299999999999997</v>
      </c>
      <c r="P25" s="64">
        <f t="shared" si="3"/>
        <v>14.7</v>
      </c>
      <c r="Q25" s="64">
        <f t="shared" si="3"/>
        <v>8.6999999999999993</v>
      </c>
      <c r="R25" s="64">
        <f t="shared" si="3"/>
        <v>0</v>
      </c>
      <c r="S25" s="64">
        <f t="shared" si="3"/>
        <v>0</v>
      </c>
      <c r="T25" s="64">
        <f t="shared" si="3"/>
        <v>0</v>
      </c>
      <c r="U25" s="64">
        <f t="shared" si="3"/>
        <v>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48.205128205128204</v>
      </c>
      <c r="D26" s="61"/>
      <c r="E26" s="62">
        <f>E10</f>
        <v>1</v>
      </c>
      <c r="F26" s="63">
        <v>-1.8</v>
      </c>
      <c r="G26" s="64">
        <f t="shared" ref="G26" si="4">G10</f>
        <v>0</v>
      </c>
      <c r="H26" s="64">
        <f t="shared" ref="H26:AB26" si="5">H10</f>
        <v>0</v>
      </c>
      <c r="I26" s="64">
        <f t="shared" si="5"/>
        <v>0</v>
      </c>
      <c r="J26" s="64">
        <f t="shared" si="5"/>
        <v>-4.5999999999999943</v>
      </c>
      <c r="K26" s="64">
        <f t="shared" si="5"/>
        <v>-4.5999999999999943</v>
      </c>
      <c r="L26" s="64">
        <f t="shared" si="5"/>
        <v>-3.5999999999999943</v>
      </c>
      <c r="M26" s="64">
        <f t="shared" si="5"/>
        <v>-3.5999999999999943</v>
      </c>
      <c r="N26" s="64">
        <f t="shared" si="5"/>
        <v>-11.6</v>
      </c>
      <c r="O26" s="64">
        <f t="shared" si="5"/>
        <v>-29.599999999999994</v>
      </c>
      <c r="P26" s="64">
        <f t="shared" si="5"/>
        <v>5.3999999999999986</v>
      </c>
      <c r="Q26" s="64">
        <f t="shared" si="5"/>
        <v>-5.6000000000000014</v>
      </c>
      <c r="R26" s="64">
        <f t="shared" si="5"/>
        <v>0</v>
      </c>
      <c r="S26" s="64">
        <f t="shared" si="5"/>
        <v>0</v>
      </c>
      <c r="T26" s="64">
        <f t="shared" si="5"/>
        <v>0</v>
      </c>
      <c r="U26" s="64">
        <f t="shared" si="5"/>
        <v>0</v>
      </c>
      <c r="V26" s="64">
        <f t="shared" si="5"/>
        <v>0</v>
      </c>
      <c r="W26" s="64">
        <f t="shared" si="5"/>
        <v>0</v>
      </c>
      <c r="X26" s="64">
        <f t="shared" si="5"/>
        <v>0</v>
      </c>
      <c r="Y26" s="64">
        <f t="shared" si="5"/>
        <v>0</v>
      </c>
      <c r="Z26" s="64">
        <f t="shared" si="5"/>
        <v>0</v>
      </c>
      <c r="AA26" s="64">
        <f t="shared" si="5"/>
        <v>0</v>
      </c>
      <c r="AB26" s="64">
        <f t="shared" si="5"/>
        <v>0</v>
      </c>
    </row>
    <row r="27" spans="1:28">
      <c r="A27" s="58" t="s">
        <v>12</v>
      </c>
      <c r="B27" s="59">
        <v>9</v>
      </c>
      <c r="C27" s="60">
        <v>37.948717948717949</v>
      </c>
      <c r="D27" s="61"/>
      <c r="E27" s="62">
        <f>E13</f>
        <v>1</v>
      </c>
      <c r="F27" s="63">
        <v>4.8</v>
      </c>
      <c r="G27" s="64">
        <f t="shared" ref="G27:G28" si="6">G13</f>
        <v>0</v>
      </c>
      <c r="H27" s="64">
        <f t="shared" ref="H27:AB27" si="7">H13</f>
        <v>0</v>
      </c>
      <c r="I27" s="64">
        <f t="shared" si="7"/>
        <v>0</v>
      </c>
      <c r="J27" s="64">
        <f t="shared" si="7"/>
        <v>35</v>
      </c>
      <c r="K27" s="64">
        <f t="shared" si="7"/>
        <v>36.5</v>
      </c>
      <c r="L27" s="64">
        <f t="shared" si="7"/>
        <v>-3.5</v>
      </c>
      <c r="M27" s="64">
        <f t="shared" si="7"/>
        <v>-0.5</v>
      </c>
      <c r="N27" s="64">
        <f t="shared" si="7"/>
        <v>10</v>
      </c>
      <c r="O27" s="64">
        <f t="shared" si="7"/>
        <v>3.5</v>
      </c>
      <c r="P27" s="64">
        <f t="shared" si="7"/>
        <v>36.5</v>
      </c>
      <c r="Q27" s="64">
        <f t="shared" si="7"/>
        <v>10.5</v>
      </c>
      <c r="R27" s="64">
        <f t="shared" si="7"/>
        <v>0</v>
      </c>
      <c r="S27" s="64">
        <f t="shared" si="7"/>
        <v>0</v>
      </c>
      <c r="T27" s="64">
        <f t="shared" si="7"/>
        <v>0</v>
      </c>
      <c r="U27" s="64">
        <f t="shared" si="7"/>
        <v>0</v>
      </c>
      <c r="V27" s="64">
        <f t="shared" si="7"/>
        <v>0</v>
      </c>
      <c r="W27" s="64">
        <f t="shared" si="7"/>
        <v>0</v>
      </c>
      <c r="X27" s="64">
        <f t="shared" si="7"/>
        <v>0</v>
      </c>
      <c r="Y27" s="64">
        <f t="shared" si="7"/>
        <v>0</v>
      </c>
      <c r="Z27" s="64">
        <f t="shared" si="7"/>
        <v>0</v>
      </c>
      <c r="AA27" s="64">
        <f t="shared" si="7"/>
        <v>0</v>
      </c>
      <c r="AB27" s="64">
        <f t="shared" si="7"/>
        <v>0</v>
      </c>
    </row>
    <row r="28" spans="1:28">
      <c r="A28" s="58" t="s">
        <v>13</v>
      </c>
      <c r="B28" s="59">
        <v>11</v>
      </c>
      <c r="C28" s="60">
        <v>68.717948717948715</v>
      </c>
      <c r="D28" s="61"/>
      <c r="E28" s="62">
        <f>E14</f>
        <v>0</v>
      </c>
      <c r="F28" s="63">
        <v>-1.5</v>
      </c>
      <c r="G28" s="64">
        <f t="shared" si="6"/>
        <v>0</v>
      </c>
      <c r="H28" s="64">
        <f t="shared" ref="H28:AB28" si="8">H14</f>
        <v>0</v>
      </c>
      <c r="I28" s="64">
        <f t="shared" si="8"/>
        <v>0</v>
      </c>
      <c r="J28" s="64">
        <f t="shared" si="8"/>
        <v>35</v>
      </c>
      <c r="K28" s="64">
        <f t="shared" si="8"/>
        <v>49.100000000000009</v>
      </c>
      <c r="L28" s="64">
        <f t="shared" si="8"/>
        <v>-20.899999999999991</v>
      </c>
      <c r="M28" s="64">
        <f t="shared" si="8"/>
        <v>-17.899999999999991</v>
      </c>
      <c r="N28" s="64">
        <f t="shared" si="8"/>
        <v>-20</v>
      </c>
      <c r="O28" s="64">
        <f t="shared" si="8"/>
        <v>-3.8999999999999915</v>
      </c>
      <c r="P28" s="64">
        <f t="shared" si="8"/>
        <v>19.100000000000001</v>
      </c>
      <c r="Q28" s="64">
        <f t="shared" si="8"/>
        <v>-10.899999999999999</v>
      </c>
      <c r="R28" s="64">
        <f t="shared" si="8"/>
        <v>0</v>
      </c>
      <c r="S28" s="64">
        <f t="shared" si="8"/>
        <v>0</v>
      </c>
      <c r="T28" s="64">
        <f t="shared" si="8"/>
        <v>0</v>
      </c>
      <c r="U28" s="64">
        <f t="shared" si="8"/>
        <v>0</v>
      </c>
      <c r="V28" s="64">
        <f t="shared" si="8"/>
        <v>0</v>
      </c>
      <c r="W28" s="64">
        <f t="shared" si="8"/>
        <v>0</v>
      </c>
      <c r="X28" s="64">
        <f t="shared" si="8"/>
        <v>0</v>
      </c>
      <c r="Y28" s="64">
        <f t="shared" si="8"/>
        <v>0</v>
      </c>
      <c r="Z28" s="64">
        <f t="shared" si="8"/>
        <v>0</v>
      </c>
      <c r="AA28" s="64">
        <f t="shared" si="8"/>
        <v>0</v>
      </c>
      <c r="AB28" s="64">
        <f t="shared" si="8"/>
        <v>0</v>
      </c>
    </row>
    <row r="29" spans="1:28">
      <c r="A29" s="58" t="s">
        <v>17</v>
      </c>
      <c r="B29" s="59">
        <v>16</v>
      </c>
      <c r="C29" s="60">
        <v>22.564102564102566</v>
      </c>
      <c r="D29" s="61"/>
      <c r="E29" s="62">
        <f>IF(E18=0,1,0)</f>
        <v>1</v>
      </c>
      <c r="F29" s="63">
        <v>-0.9</v>
      </c>
      <c r="G29" s="64">
        <f t="shared" ref="G29" si="9">G18</f>
        <v>0</v>
      </c>
      <c r="H29" s="64">
        <f t="shared" ref="H29:AB29" si="10">H18</f>
        <v>0</v>
      </c>
      <c r="I29" s="64">
        <f t="shared" si="10"/>
        <v>0</v>
      </c>
      <c r="J29" s="64">
        <f t="shared" si="10"/>
        <v>0</v>
      </c>
      <c r="K29" s="64">
        <f t="shared" si="10"/>
        <v>0</v>
      </c>
      <c r="L29" s="64">
        <f t="shared" si="10"/>
        <v>0</v>
      </c>
      <c r="M29" s="64">
        <f t="shared" si="10"/>
        <v>0</v>
      </c>
      <c r="N29" s="64">
        <f t="shared" si="10"/>
        <v>0</v>
      </c>
      <c r="O29" s="64">
        <f t="shared" si="10"/>
        <v>0</v>
      </c>
      <c r="P29" s="64">
        <f t="shared" si="10"/>
        <v>0</v>
      </c>
      <c r="Q29" s="64">
        <f t="shared" si="10"/>
        <v>0</v>
      </c>
      <c r="R29" s="64">
        <f t="shared" si="10"/>
        <v>0</v>
      </c>
      <c r="S29" s="64">
        <f t="shared" si="10"/>
        <v>0</v>
      </c>
      <c r="T29" s="64">
        <f t="shared" si="10"/>
        <v>0</v>
      </c>
      <c r="U29" s="64">
        <f t="shared" si="10"/>
        <v>0</v>
      </c>
      <c r="V29" s="64">
        <f t="shared" si="10"/>
        <v>0</v>
      </c>
      <c r="W29" s="64">
        <f t="shared" si="10"/>
        <v>0</v>
      </c>
      <c r="X29" s="64">
        <f t="shared" si="10"/>
        <v>0</v>
      </c>
      <c r="Y29" s="64">
        <f t="shared" si="10"/>
        <v>0</v>
      </c>
      <c r="Z29" s="64">
        <f t="shared" si="10"/>
        <v>0</v>
      </c>
      <c r="AA29" s="64">
        <f t="shared" si="10"/>
        <v>0</v>
      </c>
      <c r="AB29" s="64">
        <f t="shared" si="10"/>
        <v>0</v>
      </c>
    </row>
    <row r="30" spans="1:28">
      <c r="A30" s="58" t="s">
        <v>21</v>
      </c>
      <c r="B30" s="59">
        <v>21</v>
      </c>
      <c r="C30" s="60">
        <v>37.948717948717949</v>
      </c>
      <c r="D30" s="61"/>
      <c r="E30" s="62">
        <f>IF(E22=0,1,0)</f>
        <v>0</v>
      </c>
      <c r="F30" s="63">
        <v>1.2</v>
      </c>
      <c r="G30" s="64">
        <f t="shared" ref="G30" si="11">G22</f>
        <v>0</v>
      </c>
      <c r="H30" s="64">
        <f t="shared" ref="H30:AB30" si="12">H22</f>
        <v>0</v>
      </c>
      <c r="I30" s="64">
        <f t="shared" si="12"/>
        <v>0</v>
      </c>
      <c r="J30" s="64">
        <f t="shared" si="12"/>
        <v>0</v>
      </c>
      <c r="K30" s="64">
        <f t="shared" si="12"/>
        <v>0</v>
      </c>
      <c r="L30" s="64">
        <f t="shared" si="12"/>
        <v>0</v>
      </c>
      <c r="M30" s="64">
        <f t="shared" si="12"/>
        <v>0</v>
      </c>
      <c r="N30" s="64">
        <f t="shared" si="12"/>
        <v>0</v>
      </c>
      <c r="O30" s="64">
        <f t="shared" si="12"/>
        <v>0</v>
      </c>
      <c r="P30" s="64">
        <f t="shared" si="12"/>
        <v>0</v>
      </c>
      <c r="Q30" s="64">
        <f t="shared" si="12"/>
        <v>0</v>
      </c>
      <c r="R30" s="64">
        <f t="shared" si="12"/>
        <v>0</v>
      </c>
      <c r="S30" s="64">
        <f t="shared" si="12"/>
        <v>0</v>
      </c>
      <c r="T30" s="64">
        <f t="shared" si="12"/>
        <v>0</v>
      </c>
      <c r="U30" s="64">
        <f t="shared" si="12"/>
        <v>0</v>
      </c>
      <c r="V30" s="64">
        <f t="shared" si="12"/>
        <v>0</v>
      </c>
      <c r="W30" s="64">
        <f t="shared" si="12"/>
        <v>0</v>
      </c>
      <c r="X30" s="64">
        <f t="shared" si="12"/>
        <v>0</v>
      </c>
      <c r="Y30" s="64">
        <f t="shared" si="12"/>
        <v>0</v>
      </c>
      <c r="Z30" s="64">
        <f t="shared" si="12"/>
        <v>0</v>
      </c>
      <c r="AA30" s="64">
        <f t="shared" si="12"/>
        <v>0</v>
      </c>
      <c r="AB30" s="64">
        <f t="shared" si="12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A1:AB57"/>
  <sheetViews>
    <sheetView topLeftCell="E1" workbookViewId="0">
      <selection activeCell="R20" sqref="R20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/>
      <c r="N1" s="23">
        <v>3</v>
      </c>
      <c r="O1" s="23"/>
      <c r="P1" s="23"/>
      <c r="Q1" s="23"/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2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49</v>
      </c>
      <c r="J3" s="67" t="s">
        <v>77</v>
      </c>
      <c r="K3" s="67" t="s">
        <v>78</v>
      </c>
      <c r="L3" s="67" t="s">
        <v>79</v>
      </c>
      <c r="M3" s="67" t="s">
        <v>80</v>
      </c>
      <c r="N3" s="67" t="s">
        <v>81</v>
      </c>
      <c r="O3" s="67" t="s">
        <v>82</v>
      </c>
      <c r="P3" s="67" t="s">
        <v>83</v>
      </c>
      <c r="Q3" s="67" t="s">
        <v>57</v>
      </c>
      <c r="R3" s="67" t="s">
        <v>58</v>
      </c>
      <c r="S3" s="67" t="s">
        <v>59</v>
      </c>
      <c r="T3" s="67" t="s">
        <v>46</v>
      </c>
      <c r="U3" s="67" t="s">
        <v>44</v>
      </c>
      <c r="V3" s="67" t="s">
        <v>47</v>
      </c>
      <c r="W3" s="67" t="s">
        <v>48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104</v>
      </c>
      <c r="L4" s="68">
        <f t="shared" si="0"/>
        <v>114</v>
      </c>
      <c r="M4" s="68">
        <f t="shared" si="0"/>
        <v>118</v>
      </c>
      <c r="N4" s="68">
        <f t="shared" si="0"/>
        <v>126</v>
      </c>
      <c r="O4" s="68">
        <f t="shared" si="0"/>
        <v>130</v>
      </c>
      <c r="P4" s="68">
        <f t="shared" si="0"/>
        <v>132</v>
      </c>
      <c r="Q4" s="68">
        <f t="shared" si="0"/>
        <v>142</v>
      </c>
      <c r="R4" s="68">
        <f t="shared" si="0"/>
        <v>147</v>
      </c>
      <c r="S4" s="68">
        <f t="shared" si="0"/>
        <v>152</v>
      </c>
      <c r="T4" s="68">
        <f t="shared" si="0"/>
        <v>162</v>
      </c>
      <c r="U4" s="68">
        <f t="shared" si="0"/>
        <v>174</v>
      </c>
      <c r="V4" s="68">
        <f t="shared" si="0"/>
        <v>187</v>
      </c>
      <c r="W4" s="68">
        <f t="shared" si="0"/>
        <v>201</v>
      </c>
      <c r="X4" s="68">
        <f t="shared" si="0"/>
        <v>226</v>
      </c>
      <c r="Y4" s="68">
        <f t="shared" si="0"/>
        <v>326</v>
      </c>
      <c r="Z4" s="68">
        <f t="shared" si="0"/>
        <v>426</v>
      </c>
      <c r="AA4" s="68">
        <f t="shared" si="0"/>
        <v>526</v>
      </c>
      <c r="AB4" s="68">
        <f t="shared" si="0"/>
        <v>626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</v>
      </c>
      <c r="K5" s="69">
        <v>10</v>
      </c>
      <c r="L5" s="69">
        <v>2</v>
      </c>
      <c r="M5" s="69">
        <v>2</v>
      </c>
      <c r="N5" s="69">
        <v>2</v>
      </c>
      <c r="O5" s="69">
        <v>2</v>
      </c>
      <c r="P5" s="69">
        <v>10</v>
      </c>
      <c r="Q5" s="69">
        <v>3</v>
      </c>
      <c r="R5" s="69">
        <v>5</v>
      </c>
      <c r="S5" s="69">
        <v>10</v>
      </c>
      <c r="T5" s="69">
        <v>12</v>
      </c>
      <c r="U5" s="69">
        <v>13</v>
      </c>
      <c r="V5" s="69">
        <v>14</v>
      </c>
      <c r="W5" s="69">
        <v>25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2</v>
      </c>
      <c r="M6" s="69">
        <v>6</v>
      </c>
      <c r="N6" s="69">
        <v>2</v>
      </c>
      <c r="O6" s="69">
        <v>0</v>
      </c>
      <c r="P6" s="69">
        <v>0</v>
      </c>
      <c r="Q6" s="69">
        <v>2</v>
      </c>
      <c r="R6" s="69">
        <v>0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2</v>
      </c>
      <c r="Q7" s="39">
        <v>0</v>
      </c>
      <c r="R7" s="39">
        <v>0</v>
      </c>
      <c r="S7" s="39">
        <v>2</v>
      </c>
      <c r="T7" s="39">
        <v>0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32.820512820512818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-7</v>
      </c>
      <c r="K8" s="44">
        <v>0</v>
      </c>
      <c r="L8" s="44">
        <v>15</v>
      </c>
      <c r="M8" s="44">
        <v>15</v>
      </c>
      <c r="N8" s="44">
        <v>-7</v>
      </c>
      <c r="O8" s="44">
        <v>0</v>
      </c>
      <c r="P8" s="44">
        <v>0</v>
      </c>
      <c r="Q8" s="44">
        <v>0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37.948717948717949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0</v>
      </c>
      <c r="K9" s="44">
        <v>0</v>
      </c>
      <c r="L9" s="44">
        <v>8</v>
      </c>
      <c r="M9" s="44">
        <v>-3</v>
      </c>
      <c r="N9" s="44">
        <v>0</v>
      </c>
      <c r="O9" s="44">
        <v>0</v>
      </c>
      <c r="P9" s="44">
        <v>0</v>
      </c>
      <c r="Q9" s="44">
        <v>0</v>
      </c>
      <c r="R9" s="44">
        <v>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22.564102564102566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0</v>
      </c>
      <c r="K10" s="44">
        <v>0</v>
      </c>
      <c r="L10" s="44">
        <v>8</v>
      </c>
      <c r="M10" s="44">
        <v>-3</v>
      </c>
      <c r="N10" s="44">
        <v>0</v>
      </c>
      <c r="O10" s="44">
        <v>0</v>
      </c>
      <c r="P10" s="44">
        <v>0</v>
      </c>
      <c r="Q10" s="44">
        <v>0</v>
      </c>
      <c r="R10" s="44">
        <v>0</v>
      </c>
      <c r="S10" s="44">
        <v>0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45.641025641025642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-5</v>
      </c>
      <c r="K11" s="44">
        <v>-5</v>
      </c>
      <c r="L11" s="44">
        <v>-5</v>
      </c>
      <c r="M11" s="44">
        <v>-5</v>
      </c>
      <c r="N11" s="44">
        <v>-5</v>
      </c>
      <c r="O11" s="44">
        <v>-5</v>
      </c>
      <c r="P11" s="44">
        <v>0</v>
      </c>
      <c r="Q11" s="44">
        <v>0</v>
      </c>
      <c r="R11" s="44">
        <v>0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25.128205128205128</v>
      </c>
      <c r="D12" s="17">
        <v>1</v>
      </c>
      <c r="E12" s="49">
        <f>IF(E8=0,1,0)</f>
        <v>0</v>
      </c>
      <c r="F12" s="50">
        <v>50</v>
      </c>
      <c r="G12" s="50">
        <v>3</v>
      </c>
      <c r="H12" s="50">
        <v>0</v>
      </c>
      <c r="I12" s="50">
        <v>0</v>
      </c>
      <c r="J12" s="50">
        <v>-7</v>
      </c>
      <c r="K12" s="50">
        <v>0</v>
      </c>
      <c r="L12" s="50">
        <v>15</v>
      </c>
      <c r="M12" s="50">
        <v>15</v>
      </c>
      <c r="N12" s="50">
        <v>-7</v>
      </c>
      <c r="O12" s="50">
        <v>0</v>
      </c>
      <c r="P12" s="50">
        <v>0</v>
      </c>
      <c r="Q12" s="50">
        <v>0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53.333333333333336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0</v>
      </c>
      <c r="K13" s="50">
        <v>0</v>
      </c>
      <c r="L13" s="50">
        <v>8</v>
      </c>
      <c r="M13" s="50">
        <v>-3</v>
      </c>
      <c r="N13" s="50">
        <v>0</v>
      </c>
      <c r="O13" s="50">
        <v>0</v>
      </c>
      <c r="P13" s="50">
        <v>0</v>
      </c>
      <c r="Q13" s="50">
        <v>0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66.15384615384616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0</v>
      </c>
      <c r="K14" s="50">
        <v>0</v>
      </c>
      <c r="L14" s="50">
        <v>8</v>
      </c>
      <c r="M14" s="50">
        <v>-3</v>
      </c>
      <c r="N14" s="50">
        <v>0</v>
      </c>
      <c r="O14" s="50">
        <v>0</v>
      </c>
      <c r="P14" s="50">
        <v>0</v>
      </c>
      <c r="Q14" s="50">
        <v>0</v>
      </c>
      <c r="R14" s="50">
        <v>0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22.564102564102566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-5</v>
      </c>
      <c r="K15" s="50">
        <v>-5</v>
      </c>
      <c r="L15" s="50">
        <v>-5</v>
      </c>
      <c r="M15" s="50">
        <v>-5</v>
      </c>
      <c r="N15" s="50">
        <v>-5</v>
      </c>
      <c r="O15" s="50">
        <v>-5</v>
      </c>
      <c r="P15" s="50">
        <v>0</v>
      </c>
      <c r="Q15" s="50">
        <v>0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22.564102564102566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15</v>
      </c>
      <c r="K16" s="57">
        <v>-30</v>
      </c>
      <c r="L16" s="57">
        <v>-30</v>
      </c>
      <c r="M16" s="57">
        <v>20</v>
      </c>
      <c r="N16" s="57">
        <v>30</v>
      </c>
      <c r="O16" s="57">
        <v>0</v>
      </c>
      <c r="P16" s="57">
        <v>0</v>
      </c>
      <c r="Q16" s="57">
        <v>0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27.692307692307693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17.435897435897434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25.128205128205128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43.07692307692308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22.564102564102566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35.384615384615387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27.692307692307693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30.256410256410255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30.256410256410255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5" si="3">H9</f>
        <v>0</v>
      </c>
      <c r="I25" s="64">
        <f t="shared" si="3"/>
        <v>0</v>
      </c>
      <c r="J25" s="64">
        <f t="shared" si="3"/>
        <v>0</v>
      </c>
      <c r="K25" s="64">
        <f t="shared" si="3"/>
        <v>0</v>
      </c>
      <c r="L25" s="64">
        <f t="shared" si="3"/>
        <v>8</v>
      </c>
      <c r="M25" s="64">
        <f t="shared" si="3"/>
        <v>-3</v>
      </c>
      <c r="N25" s="64">
        <f t="shared" si="3"/>
        <v>0</v>
      </c>
      <c r="O25" s="64">
        <f t="shared" si="3"/>
        <v>0</v>
      </c>
      <c r="P25" s="64">
        <f t="shared" si="3"/>
        <v>0</v>
      </c>
      <c r="Q25" s="64">
        <f t="shared" si="3"/>
        <v>0</v>
      </c>
      <c r="R25" s="64">
        <f t="shared" si="3"/>
        <v>0</v>
      </c>
      <c r="S25" s="64">
        <f t="shared" si="3"/>
        <v>0</v>
      </c>
      <c r="T25" s="64">
        <f t="shared" si="3"/>
        <v>0</v>
      </c>
      <c r="U25" s="64">
        <f t="shared" si="3"/>
        <v>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48.205128205128204</v>
      </c>
      <c r="D26" s="61"/>
      <c r="E26" s="62">
        <f>E10</f>
        <v>1</v>
      </c>
      <c r="F26" s="63">
        <v>-1.8</v>
      </c>
      <c r="G26" s="64">
        <f t="shared" ref="G26:AB26" si="4">G10</f>
        <v>0</v>
      </c>
      <c r="H26" s="64">
        <f t="shared" si="4"/>
        <v>0</v>
      </c>
      <c r="I26" s="64">
        <f t="shared" si="4"/>
        <v>0</v>
      </c>
      <c r="J26" s="64">
        <f t="shared" si="4"/>
        <v>0</v>
      </c>
      <c r="K26" s="64">
        <f t="shared" si="4"/>
        <v>0</v>
      </c>
      <c r="L26" s="64">
        <f t="shared" si="4"/>
        <v>8</v>
      </c>
      <c r="M26" s="64">
        <f t="shared" si="4"/>
        <v>-3</v>
      </c>
      <c r="N26" s="64">
        <f t="shared" si="4"/>
        <v>0</v>
      </c>
      <c r="O26" s="64">
        <f t="shared" si="4"/>
        <v>0</v>
      </c>
      <c r="P26" s="64">
        <f t="shared" si="4"/>
        <v>0</v>
      </c>
      <c r="Q26" s="64">
        <f t="shared" si="4"/>
        <v>0</v>
      </c>
      <c r="R26" s="64">
        <f t="shared" si="4"/>
        <v>0</v>
      </c>
      <c r="S26" s="64">
        <f t="shared" si="4"/>
        <v>0</v>
      </c>
      <c r="T26" s="64">
        <f t="shared" si="4"/>
        <v>0</v>
      </c>
      <c r="U26" s="64">
        <f t="shared" si="4"/>
        <v>0</v>
      </c>
      <c r="V26" s="64">
        <f t="shared" si="4"/>
        <v>0</v>
      </c>
      <c r="W26" s="64">
        <f t="shared" si="4"/>
        <v>0</v>
      </c>
      <c r="X26" s="64">
        <f t="shared" si="4"/>
        <v>0</v>
      </c>
      <c r="Y26" s="64">
        <f t="shared" si="4"/>
        <v>0</v>
      </c>
      <c r="Z26" s="64">
        <f t="shared" si="4"/>
        <v>0</v>
      </c>
      <c r="AA26" s="64">
        <f t="shared" si="4"/>
        <v>0</v>
      </c>
      <c r="AB26" s="64">
        <f t="shared" si="4"/>
        <v>0</v>
      </c>
    </row>
    <row r="27" spans="1:28">
      <c r="A27" s="58" t="s">
        <v>12</v>
      </c>
      <c r="B27" s="59">
        <v>9</v>
      </c>
      <c r="C27" s="60">
        <v>37.948717948717949</v>
      </c>
      <c r="D27" s="61"/>
      <c r="E27" s="62">
        <f>E13</f>
        <v>1</v>
      </c>
      <c r="F27" s="63">
        <v>4.8</v>
      </c>
      <c r="G27" s="64">
        <f t="shared" ref="G27:V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0</v>
      </c>
      <c r="K27" s="64">
        <f t="shared" si="5"/>
        <v>0</v>
      </c>
      <c r="L27" s="64">
        <f t="shared" si="5"/>
        <v>8</v>
      </c>
      <c r="M27" s="64">
        <f t="shared" si="5"/>
        <v>-3</v>
      </c>
      <c r="N27" s="64">
        <f t="shared" si="5"/>
        <v>0</v>
      </c>
      <c r="O27" s="64">
        <f t="shared" si="5"/>
        <v>0</v>
      </c>
      <c r="P27" s="64">
        <f t="shared" si="5"/>
        <v>0</v>
      </c>
      <c r="Q27" s="64">
        <f t="shared" si="5"/>
        <v>0</v>
      </c>
      <c r="R27" s="64">
        <f t="shared" si="5"/>
        <v>0</v>
      </c>
      <c r="S27" s="64">
        <f t="shared" si="5"/>
        <v>0</v>
      </c>
      <c r="T27" s="64">
        <f t="shared" si="5"/>
        <v>0</v>
      </c>
      <c r="U27" s="64">
        <f t="shared" si="5"/>
        <v>0</v>
      </c>
      <c r="V27" s="64">
        <f t="shared" si="5"/>
        <v>0</v>
      </c>
      <c r="W27" s="64">
        <f t="shared" ref="H27:AB28" si="6">W13</f>
        <v>0</v>
      </c>
      <c r="X27" s="64">
        <f t="shared" si="6"/>
        <v>0</v>
      </c>
      <c r="Y27" s="64">
        <f t="shared" si="6"/>
        <v>0</v>
      </c>
      <c r="Z27" s="64">
        <f t="shared" si="6"/>
        <v>0</v>
      </c>
      <c r="AA27" s="64">
        <f t="shared" si="6"/>
        <v>0</v>
      </c>
      <c r="AB27" s="64">
        <f t="shared" si="6"/>
        <v>0</v>
      </c>
    </row>
    <row r="28" spans="1:28">
      <c r="A28" s="58" t="s">
        <v>13</v>
      </c>
      <c r="B28" s="59">
        <v>11</v>
      </c>
      <c r="C28" s="60">
        <v>68.717948717948715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6"/>
        <v>0</v>
      </c>
      <c r="I28" s="64">
        <f t="shared" si="6"/>
        <v>0</v>
      </c>
      <c r="J28" s="64">
        <f t="shared" si="6"/>
        <v>0</v>
      </c>
      <c r="K28" s="64">
        <f t="shared" si="6"/>
        <v>0</v>
      </c>
      <c r="L28" s="64">
        <f t="shared" si="6"/>
        <v>8</v>
      </c>
      <c r="M28" s="64">
        <f t="shared" si="6"/>
        <v>-3</v>
      </c>
      <c r="N28" s="64">
        <f t="shared" si="6"/>
        <v>0</v>
      </c>
      <c r="O28" s="64">
        <f t="shared" si="6"/>
        <v>0</v>
      </c>
      <c r="P28" s="64">
        <f t="shared" si="6"/>
        <v>0</v>
      </c>
      <c r="Q28" s="64">
        <f t="shared" si="6"/>
        <v>0</v>
      </c>
      <c r="R28" s="64">
        <f t="shared" si="6"/>
        <v>0</v>
      </c>
      <c r="S28" s="64">
        <f t="shared" si="6"/>
        <v>0</v>
      </c>
      <c r="T28" s="64">
        <f t="shared" si="6"/>
        <v>0</v>
      </c>
      <c r="U28" s="64">
        <f t="shared" si="6"/>
        <v>0</v>
      </c>
      <c r="V28" s="64">
        <f t="shared" si="6"/>
        <v>0</v>
      </c>
      <c r="W28" s="64">
        <f t="shared" si="6"/>
        <v>0</v>
      </c>
      <c r="X28" s="64">
        <f t="shared" si="6"/>
        <v>0</v>
      </c>
      <c r="Y28" s="64">
        <f t="shared" si="6"/>
        <v>0</v>
      </c>
      <c r="Z28" s="64">
        <f t="shared" si="6"/>
        <v>0</v>
      </c>
      <c r="AA28" s="64">
        <f t="shared" si="6"/>
        <v>0</v>
      </c>
      <c r="AB28" s="64">
        <f t="shared" si="6"/>
        <v>0</v>
      </c>
    </row>
    <row r="29" spans="1:28">
      <c r="A29" s="58" t="s">
        <v>17</v>
      </c>
      <c r="B29" s="59">
        <v>16</v>
      </c>
      <c r="C29" s="60">
        <v>22.564102564102566</v>
      </c>
      <c r="D29" s="61"/>
      <c r="E29" s="62">
        <f>IF(E18=0,1,0)</f>
        <v>1</v>
      </c>
      <c r="F29" s="63">
        <v>-0.9</v>
      </c>
      <c r="G29" s="64">
        <f t="shared" ref="G29:AB29" si="7">G18</f>
        <v>0</v>
      </c>
      <c r="H29" s="64">
        <f t="shared" si="7"/>
        <v>0</v>
      </c>
      <c r="I29" s="64">
        <f t="shared" si="7"/>
        <v>0</v>
      </c>
      <c r="J29" s="64">
        <f t="shared" si="7"/>
        <v>0</v>
      </c>
      <c r="K29" s="64">
        <f t="shared" si="7"/>
        <v>0</v>
      </c>
      <c r="L29" s="64">
        <f t="shared" si="7"/>
        <v>0</v>
      </c>
      <c r="M29" s="64">
        <f t="shared" si="7"/>
        <v>0</v>
      </c>
      <c r="N29" s="64">
        <f t="shared" si="7"/>
        <v>0</v>
      </c>
      <c r="O29" s="64">
        <f t="shared" si="7"/>
        <v>0</v>
      </c>
      <c r="P29" s="64">
        <f t="shared" si="7"/>
        <v>0</v>
      </c>
      <c r="Q29" s="64">
        <f t="shared" si="7"/>
        <v>0</v>
      </c>
      <c r="R29" s="64">
        <f t="shared" si="7"/>
        <v>0</v>
      </c>
      <c r="S29" s="64">
        <f t="shared" si="7"/>
        <v>0</v>
      </c>
      <c r="T29" s="64">
        <f t="shared" si="7"/>
        <v>0</v>
      </c>
      <c r="U29" s="64">
        <f t="shared" si="7"/>
        <v>0</v>
      </c>
      <c r="V29" s="64">
        <f t="shared" si="7"/>
        <v>0</v>
      </c>
      <c r="W29" s="64">
        <f t="shared" si="7"/>
        <v>0</v>
      </c>
      <c r="X29" s="64">
        <f t="shared" si="7"/>
        <v>0</v>
      </c>
      <c r="Y29" s="64">
        <f t="shared" si="7"/>
        <v>0</v>
      </c>
      <c r="Z29" s="64">
        <f t="shared" si="7"/>
        <v>0</v>
      </c>
      <c r="AA29" s="64">
        <f t="shared" si="7"/>
        <v>0</v>
      </c>
      <c r="AB29" s="64">
        <f t="shared" si="7"/>
        <v>0</v>
      </c>
    </row>
    <row r="30" spans="1:28">
      <c r="A30" s="58" t="s">
        <v>21</v>
      </c>
      <c r="B30" s="59">
        <v>21</v>
      </c>
      <c r="C30" s="60">
        <v>37.948717948717949</v>
      </c>
      <c r="D30" s="61"/>
      <c r="E30" s="62">
        <f>IF(E22=0,1,0)</f>
        <v>0</v>
      </c>
      <c r="F30" s="63">
        <v>1.2</v>
      </c>
      <c r="G30" s="64">
        <f t="shared" ref="G30:AB30" si="8">G22</f>
        <v>0</v>
      </c>
      <c r="H30" s="64">
        <f t="shared" si="8"/>
        <v>0</v>
      </c>
      <c r="I30" s="64">
        <f t="shared" si="8"/>
        <v>0</v>
      </c>
      <c r="J30" s="64">
        <f t="shared" si="8"/>
        <v>0</v>
      </c>
      <c r="K30" s="64">
        <f t="shared" si="8"/>
        <v>0</v>
      </c>
      <c r="L30" s="64">
        <f t="shared" si="8"/>
        <v>0</v>
      </c>
      <c r="M30" s="64">
        <f t="shared" si="8"/>
        <v>0</v>
      </c>
      <c r="N30" s="64">
        <f t="shared" si="8"/>
        <v>0</v>
      </c>
      <c r="O30" s="64">
        <f t="shared" si="8"/>
        <v>0</v>
      </c>
      <c r="P30" s="64">
        <f t="shared" si="8"/>
        <v>0</v>
      </c>
      <c r="Q30" s="64">
        <f t="shared" si="8"/>
        <v>0</v>
      </c>
      <c r="R30" s="64">
        <f t="shared" si="8"/>
        <v>0</v>
      </c>
      <c r="S30" s="64">
        <f t="shared" si="8"/>
        <v>0</v>
      </c>
      <c r="T30" s="64">
        <f t="shared" si="8"/>
        <v>0</v>
      </c>
      <c r="U30" s="64">
        <f t="shared" si="8"/>
        <v>0</v>
      </c>
      <c r="V30" s="64">
        <f t="shared" si="8"/>
        <v>0</v>
      </c>
      <c r="W30" s="64">
        <f t="shared" si="8"/>
        <v>0</v>
      </c>
      <c r="X30" s="64">
        <f t="shared" si="8"/>
        <v>0</v>
      </c>
      <c r="Y30" s="64">
        <f t="shared" si="8"/>
        <v>0</v>
      </c>
      <c r="Z30" s="64">
        <f t="shared" si="8"/>
        <v>0</v>
      </c>
      <c r="AA30" s="64">
        <f t="shared" si="8"/>
        <v>0</v>
      </c>
      <c r="AB30" s="64">
        <f t="shared" si="8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41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41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41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42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41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41</v>
      </c>
    </row>
    <row r="49" spans="1:5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</row>
    <row r="50" spans="1:5">
      <c r="A50" s="19">
        <v>0</v>
      </c>
      <c r="B50" s="19">
        <v>100</v>
      </c>
      <c r="C50" s="19">
        <v>100</v>
      </c>
      <c r="D50">
        <v>85</v>
      </c>
      <c r="E50" t="s">
        <v>40</v>
      </c>
    </row>
    <row r="51" spans="1:5">
      <c r="A51" s="19">
        <v>0</v>
      </c>
      <c r="B51" s="19">
        <v>100</v>
      </c>
      <c r="C51" s="19">
        <v>100</v>
      </c>
      <c r="D51">
        <v>-90</v>
      </c>
      <c r="E51" t="s">
        <v>41</v>
      </c>
    </row>
    <row r="52" spans="1:5">
      <c r="A52" s="19">
        <v>44.9</v>
      </c>
      <c r="B52" s="19">
        <v>3.5</v>
      </c>
      <c r="C52" s="19">
        <v>3.5</v>
      </c>
      <c r="D52">
        <v>-9.1000000000000014</v>
      </c>
    </row>
    <row r="53" spans="1:5">
      <c r="A53" s="19">
        <v>-44.5</v>
      </c>
      <c r="B53" s="19">
        <v>-3.5</v>
      </c>
      <c r="C53" s="19">
        <v>-3.5</v>
      </c>
      <c r="D53">
        <v>-6.5</v>
      </c>
    </row>
    <row r="54" spans="1:5">
      <c r="A54" s="19">
        <v>45.7</v>
      </c>
      <c r="B54" s="19">
        <v>5.5</v>
      </c>
      <c r="C54" s="19">
        <v>5.8</v>
      </c>
      <c r="D54">
        <v>-6.2999999999999972</v>
      </c>
    </row>
    <row r="55" spans="1:5">
      <c r="A55" s="19">
        <v>-42.4</v>
      </c>
      <c r="B55" s="19">
        <v>-5</v>
      </c>
      <c r="C55" s="19">
        <v>-5</v>
      </c>
      <c r="D55">
        <v>-6.3999999999999986</v>
      </c>
    </row>
    <row r="56" spans="1:5">
      <c r="A56" s="19">
        <v>15.6</v>
      </c>
      <c r="B56" s="19">
        <v>1</v>
      </c>
      <c r="C56" s="19">
        <v>1</v>
      </c>
      <c r="D56">
        <v>15.6</v>
      </c>
    </row>
    <row r="57" spans="1:5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/>
  <dimension ref="A1:AB57"/>
  <sheetViews>
    <sheetView workbookViewId="0">
      <selection activeCell="O23" sqref="O23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/>
      <c r="N1" s="23">
        <v>3</v>
      </c>
      <c r="O1" s="23"/>
      <c r="P1" s="23"/>
      <c r="Q1" s="23"/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3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49</v>
      </c>
      <c r="J3" s="67" t="s">
        <v>50</v>
      </c>
      <c r="K3" s="67" t="s">
        <v>51</v>
      </c>
      <c r="L3" s="67" t="s">
        <v>52</v>
      </c>
      <c r="M3" s="67" t="s">
        <v>53</v>
      </c>
      <c r="N3" s="67" t="s">
        <v>54</v>
      </c>
      <c r="O3" s="67" t="s">
        <v>55</v>
      </c>
      <c r="P3" s="67" t="s">
        <v>56</v>
      </c>
      <c r="Q3" s="67" t="s">
        <v>57</v>
      </c>
      <c r="R3" s="67" t="s">
        <v>58</v>
      </c>
      <c r="S3" s="67" t="s">
        <v>59</v>
      </c>
      <c r="T3" s="67" t="s">
        <v>46</v>
      </c>
      <c r="U3" s="67" t="s">
        <v>44</v>
      </c>
      <c r="V3" s="67" t="s">
        <v>47</v>
      </c>
      <c r="W3" s="67" t="s">
        <v>48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104</v>
      </c>
      <c r="L4" s="68">
        <f t="shared" si="0"/>
        <v>114</v>
      </c>
      <c r="M4" s="68">
        <f t="shared" si="0"/>
        <v>118</v>
      </c>
      <c r="N4" s="68">
        <f t="shared" si="0"/>
        <v>126</v>
      </c>
      <c r="O4" s="68">
        <f t="shared" si="0"/>
        <v>130</v>
      </c>
      <c r="P4" s="68">
        <f t="shared" si="0"/>
        <v>132</v>
      </c>
      <c r="Q4" s="68">
        <f t="shared" si="0"/>
        <v>142</v>
      </c>
      <c r="R4" s="68">
        <f t="shared" si="0"/>
        <v>147</v>
      </c>
      <c r="S4" s="68">
        <f t="shared" si="0"/>
        <v>152</v>
      </c>
      <c r="T4" s="68">
        <f t="shared" si="0"/>
        <v>162</v>
      </c>
      <c r="U4" s="68">
        <f t="shared" si="0"/>
        <v>174</v>
      </c>
      <c r="V4" s="68">
        <f t="shared" si="0"/>
        <v>187</v>
      </c>
      <c r="W4" s="68">
        <f t="shared" si="0"/>
        <v>201</v>
      </c>
      <c r="X4" s="68">
        <f t="shared" si="0"/>
        <v>226</v>
      </c>
      <c r="Y4" s="68">
        <f t="shared" si="0"/>
        <v>326</v>
      </c>
      <c r="Z4" s="68">
        <f t="shared" si="0"/>
        <v>426</v>
      </c>
      <c r="AA4" s="68">
        <f t="shared" si="0"/>
        <v>526</v>
      </c>
      <c r="AB4" s="68">
        <f t="shared" si="0"/>
        <v>626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</v>
      </c>
      <c r="K5" s="69">
        <v>10</v>
      </c>
      <c r="L5" s="69">
        <v>2</v>
      </c>
      <c r="M5" s="69">
        <v>2</v>
      </c>
      <c r="N5" s="69">
        <v>2</v>
      </c>
      <c r="O5" s="69">
        <v>2</v>
      </c>
      <c r="P5" s="69">
        <v>10</v>
      </c>
      <c r="Q5" s="69">
        <v>3</v>
      </c>
      <c r="R5" s="69">
        <v>5</v>
      </c>
      <c r="S5" s="69">
        <v>10</v>
      </c>
      <c r="T5" s="69">
        <v>12</v>
      </c>
      <c r="U5" s="69">
        <v>13</v>
      </c>
      <c r="V5" s="69">
        <v>14</v>
      </c>
      <c r="W5" s="69">
        <v>25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2</v>
      </c>
      <c r="M6" s="69">
        <v>6</v>
      </c>
      <c r="N6" s="69">
        <v>2</v>
      </c>
      <c r="O6" s="69">
        <v>0</v>
      </c>
      <c r="P6" s="69">
        <v>0</v>
      </c>
      <c r="Q6" s="69">
        <v>2</v>
      </c>
      <c r="R6" s="69">
        <v>0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2</v>
      </c>
      <c r="Q7" s="39">
        <v>0</v>
      </c>
      <c r="R7" s="39">
        <v>0</v>
      </c>
      <c r="S7" s="39">
        <v>2</v>
      </c>
      <c r="T7" s="39">
        <v>0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32.820512820512818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-7</v>
      </c>
      <c r="K8" s="44">
        <v>0</v>
      </c>
      <c r="L8" s="44">
        <v>15</v>
      </c>
      <c r="M8" s="44">
        <v>15</v>
      </c>
      <c r="N8" s="44">
        <v>-7</v>
      </c>
      <c r="O8" s="44">
        <v>0</v>
      </c>
      <c r="P8" s="44">
        <v>0</v>
      </c>
      <c r="Q8" s="44">
        <v>0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37.948717948717949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0</v>
      </c>
      <c r="K9" s="44">
        <v>0</v>
      </c>
      <c r="L9" s="44">
        <v>8</v>
      </c>
      <c r="M9" s="44">
        <v>-3</v>
      </c>
      <c r="N9" s="44">
        <v>0</v>
      </c>
      <c r="O9" s="44">
        <v>0</v>
      </c>
      <c r="P9" s="44">
        <v>0</v>
      </c>
      <c r="Q9" s="44">
        <v>0</v>
      </c>
      <c r="R9" s="44">
        <v>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22.564102564102566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0</v>
      </c>
      <c r="K10" s="44">
        <v>0</v>
      </c>
      <c r="L10" s="44">
        <v>8</v>
      </c>
      <c r="M10" s="44">
        <v>-3</v>
      </c>
      <c r="N10" s="44">
        <v>0</v>
      </c>
      <c r="O10" s="44">
        <v>0</v>
      </c>
      <c r="P10" s="44">
        <v>0</v>
      </c>
      <c r="Q10" s="44">
        <v>0</v>
      </c>
      <c r="R10" s="44">
        <v>0</v>
      </c>
      <c r="S10" s="44">
        <v>0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45.641025641025642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-5</v>
      </c>
      <c r="K11" s="44">
        <v>-5</v>
      </c>
      <c r="L11" s="44">
        <v>-5</v>
      </c>
      <c r="M11" s="44">
        <v>-5</v>
      </c>
      <c r="N11" s="44">
        <v>-5</v>
      </c>
      <c r="O11" s="44">
        <v>-5</v>
      </c>
      <c r="P11" s="44">
        <v>0</v>
      </c>
      <c r="Q11" s="44">
        <v>0</v>
      </c>
      <c r="R11" s="44">
        <v>0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25.128205128205128</v>
      </c>
      <c r="D12" s="17">
        <v>1</v>
      </c>
      <c r="E12" s="49">
        <f>IF(E8=0,1,0)</f>
        <v>0</v>
      </c>
      <c r="F12" s="50">
        <v>50</v>
      </c>
      <c r="G12" s="50">
        <v>3</v>
      </c>
      <c r="H12" s="50">
        <v>0</v>
      </c>
      <c r="I12" s="50">
        <v>0</v>
      </c>
      <c r="J12" s="50">
        <v>-7</v>
      </c>
      <c r="K12" s="50">
        <v>0</v>
      </c>
      <c r="L12" s="50">
        <v>15</v>
      </c>
      <c r="M12" s="50">
        <v>15</v>
      </c>
      <c r="N12" s="50">
        <v>-7</v>
      </c>
      <c r="O12" s="50">
        <v>0</v>
      </c>
      <c r="P12" s="50">
        <v>0</v>
      </c>
      <c r="Q12" s="50">
        <v>0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53.333333333333336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0</v>
      </c>
      <c r="K13" s="50">
        <v>0</v>
      </c>
      <c r="L13" s="50">
        <v>8</v>
      </c>
      <c r="M13" s="50">
        <v>-3</v>
      </c>
      <c r="N13" s="50">
        <v>0</v>
      </c>
      <c r="O13" s="50">
        <v>0</v>
      </c>
      <c r="P13" s="50">
        <v>0</v>
      </c>
      <c r="Q13" s="50">
        <v>0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66.15384615384616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0</v>
      </c>
      <c r="K14" s="50">
        <v>0</v>
      </c>
      <c r="L14" s="50">
        <v>8</v>
      </c>
      <c r="M14" s="50">
        <v>-3</v>
      </c>
      <c r="N14" s="50">
        <v>0</v>
      </c>
      <c r="O14" s="50">
        <v>0</v>
      </c>
      <c r="P14" s="50">
        <v>0</v>
      </c>
      <c r="Q14" s="50">
        <v>0</v>
      </c>
      <c r="R14" s="50">
        <v>0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22.564102564102566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-5</v>
      </c>
      <c r="K15" s="50">
        <v>-5</v>
      </c>
      <c r="L15" s="50">
        <v>-5</v>
      </c>
      <c r="M15" s="50">
        <v>-5</v>
      </c>
      <c r="N15" s="50">
        <v>-5</v>
      </c>
      <c r="O15" s="50">
        <v>-5</v>
      </c>
      <c r="P15" s="50">
        <v>0</v>
      </c>
      <c r="Q15" s="50">
        <v>0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22.564102564102566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-15</v>
      </c>
      <c r="K16" s="57">
        <v>30</v>
      </c>
      <c r="L16" s="57">
        <v>30</v>
      </c>
      <c r="M16" s="57">
        <v>-20</v>
      </c>
      <c r="N16" s="57">
        <v>-30</v>
      </c>
      <c r="O16" s="57">
        <v>0</v>
      </c>
      <c r="P16" s="57">
        <v>0</v>
      </c>
      <c r="Q16" s="57">
        <v>0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27.692307692307693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17.435897435897434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25.128205128205128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43.07692307692308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22.564102564102566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35.384615384615387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27.692307692307693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30.256410256410255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30.256410256410255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5" si="3">H9</f>
        <v>0</v>
      </c>
      <c r="I25" s="64">
        <f t="shared" si="3"/>
        <v>0</v>
      </c>
      <c r="J25" s="64">
        <f t="shared" si="3"/>
        <v>0</v>
      </c>
      <c r="K25" s="64">
        <f t="shared" si="3"/>
        <v>0</v>
      </c>
      <c r="L25" s="64">
        <f t="shared" si="3"/>
        <v>8</v>
      </c>
      <c r="M25" s="64">
        <f t="shared" si="3"/>
        <v>-3</v>
      </c>
      <c r="N25" s="64">
        <f t="shared" si="3"/>
        <v>0</v>
      </c>
      <c r="O25" s="64">
        <f t="shared" si="3"/>
        <v>0</v>
      </c>
      <c r="P25" s="64">
        <f t="shared" si="3"/>
        <v>0</v>
      </c>
      <c r="Q25" s="64">
        <f t="shared" si="3"/>
        <v>0</v>
      </c>
      <c r="R25" s="64">
        <f t="shared" si="3"/>
        <v>0</v>
      </c>
      <c r="S25" s="64">
        <f t="shared" si="3"/>
        <v>0</v>
      </c>
      <c r="T25" s="64">
        <f t="shared" si="3"/>
        <v>0</v>
      </c>
      <c r="U25" s="64">
        <f t="shared" si="3"/>
        <v>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48.205128205128204</v>
      </c>
      <c r="D26" s="61"/>
      <c r="E26" s="62">
        <f>E10</f>
        <v>1</v>
      </c>
      <c r="F26" s="63">
        <v>-1.8</v>
      </c>
      <c r="G26" s="64">
        <f t="shared" ref="G26" si="4">G10</f>
        <v>0</v>
      </c>
      <c r="H26" s="64">
        <f t="shared" ref="H26:AB26" si="5">H10</f>
        <v>0</v>
      </c>
      <c r="I26" s="64">
        <f t="shared" si="5"/>
        <v>0</v>
      </c>
      <c r="J26" s="64">
        <f t="shared" si="5"/>
        <v>0</v>
      </c>
      <c r="K26" s="64">
        <f t="shared" si="5"/>
        <v>0</v>
      </c>
      <c r="L26" s="64">
        <f t="shared" si="5"/>
        <v>8</v>
      </c>
      <c r="M26" s="64">
        <f t="shared" si="5"/>
        <v>-3</v>
      </c>
      <c r="N26" s="64">
        <f t="shared" si="5"/>
        <v>0</v>
      </c>
      <c r="O26" s="64">
        <f t="shared" si="5"/>
        <v>0</v>
      </c>
      <c r="P26" s="64">
        <f t="shared" si="5"/>
        <v>0</v>
      </c>
      <c r="Q26" s="64">
        <f t="shared" si="5"/>
        <v>0</v>
      </c>
      <c r="R26" s="64">
        <f t="shared" si="5"/>
        <v>0</v>
      </c>
      <c r="S26" s="64">
        <f t="shared" si="5"/>
        <v>0</v>
      </c>
      <c r="T26" s="64">
        <f t="shared" si="5"/>
        <v>0</v>
      </c>
      <c r="U26" s="64">
        <f t="shared" si="5"/>
        <v>0</v>
      </c>
      <c r="V26" s="64">
        <f t="shared" si="5"/>
        <v>0</v>
      </c>
      <c r="W26" s="64">
        <f t="shared" si="5"/>
        <v>0</v>
      </c>
      <c r="X26" s="64">
        <f t="shared" si="5"/>
        <v>0</v>
      </c>
      <c r="Y26" s="64">
        <f t="shared" si="5"/>
        <v>0</v>
      </c>
      <c r="Z26" s="64">
        <f t="shared" si="5"/>
        <v>0</v>
      </c>
      <c r="AA26" s="64">
        <f t="shared" si="5"/>
        <v>0</v>
      </c>
      <c r="AB26" s="64">
        <f t="shared" si="5"/>
        <v>0</v>
      </c>
    </row>
    <row r="27" spans="1:28">
      <c r="A27" s="58" t="s">
        <v>12</v>
      </c>
      <c r="B27" s="59">
        <v>9</v>
      </c>
      <c r="C27" s="60">
        <v>37.948717948717949</v>
      </c>
      <c r="D27" s="61"/>
      <c r="E27" s="62">
        <f>E13</f>
        <v>1</v>
      </c>
      <c r="F27" s="63">
        <v>4.8</v>
      </c>
      <c r="G27" s="64">
        <f t="shared" ref="G27:G28" si="6">G13</f>
        <v>0</v>
      </c>
      <c r="H27" s="64">
        <f t="shared" ref="H27:AB27" si="7">H13</f>
        <v>0</v>
      </c>
      <c r="I27" s="64">
        <f t="shared" si="7"/>
        <v>0</v>
      </c>
      <c r="J27" s="64">
        <f t="shared" si="7"/>
        <v>0</v>
      </c>
      <c r="K27" s="64">
        <f t="shared" si="7"/>
        <v>0</v>
      </c>
      <c r="L27" s="64">
        <f t="shared" si="7"/>
        <v>8</v>
      </c>
      <c r="M27" s="64">
        <f t="shared" si="7"/>
        <v>-3</v>
      </c>
      <c r="N27" s="64">
        <f t="shared" si="7"/>
        <v>0</v>
      </c>
      <c r="O27" s="64">
        <f t="shared" si="7"/>
        <v>0</v>
      </c>
      <c r="P27" s="64">
        <f t="shared" si="7"/>
        <v>0</v>
      </c>
      <c r="Q27" s="64">
        <f t="shared" si="7"/>
        <v>0</v>
      </c>
      <c r="R27" s="64">
        <f t="shared" si="7"/>
        <v>0</v>
      </c>
      <c r="S27" s="64">
        <f t="shared" si="7"/>
        <v>0</v>
      </c>
      <c r="T27" s="64">
        <f t="shared" si="7"/>
        <v>0</v>
      </c>
      <c r="U27" s="64">
        <f t="shared" si="7"/>
        <v>0</v>
      </c>
      <c r="V27" s="64">
        <f t="shared" si="7"/>
        <v>0</v>
      </c>
      <c r="W27" s="64">
        <f t="shared" si="7"/>
        <v>0</v>
      </c>
      <c r="X27" s="64">
        <f t="shared" si="7"/>
        <v>0</v>
      </c>
      <c r="Y27" s="64">
        <f t="shared" si="7"/>
        <v>0</v>
      </c>
      <c r="Z27" s="64">
        <f t="shared" si="7"/>
        <v>0</v>
      </c>
      <c r="AA27" s="64">
        <f t="shared" si="7"/>
        <v>0</v>
      </c>
      <c r="AB27" s="64">
        <f t="shared" si="7"/>
        <v>0</v>
      </c>
    </row>
    <row r="28" spans="1:28">
      <c r="A28" s="58" t="s">
        <v>13</v>
      </c>
      <c r="B28" s="59">
        <v>11</v>
      </c>
      <c r="C28" s="60">
        <v>68.717948717948715</v>
      </c>
      <c r="D28" s="61"/>
      <c r="E28" s="62">
        <f>E14</f>
        <v>0</v>
      </c>
      <c r="F28" s="63">
        <v>-1.5</v>
      </c>
      <c r="G28" s="64">
        <f t="shared" si="6"/>
        <v>0</v>
      </c>
      <c r="H28" s="64">
        <f t="shared" ref="H28:AB28" si="8">H14</f>
        <v>0</v>
      </c>
      <c r="I28" s="64">
        <f t="shared" si="8"/>
        <v>0</v>
      </c>
      <c r="J28" s="64">
        <f t="shared" si="8"/>
        <v>0</v>
      </c>
      <c r="K28" s="64">
        <f t="shared" si="8"/>
        <v>0</v>
      </c>
      <c r="L28" s="64">
        <f t="shared" si="8"/>
        <v>8</v>
      </c>
      <c r="M28" s="64">
        <f t="shared" si="8"/>
        <v>-3</v>
      </c>
      <c r="N28" s="64">
        <f t="shared" si="8"/>
        <v>0</v>
      </c>
      <c r="O28" s="64">
        <f t="shared" si="8"/>
        <v>0</v>
      </c>
      <c r="P28" s="64">
        <f t="shared" si="8"/>
        <v>0</v>
      </c>
      <c r="Q28" s="64">
        <f t="shared" si="8"/>
        <v>0</v>
      </c>
      <c r="R28" s="64">
        <f t="shared" si="8"/>
        <v>0</v>
      </c>
      <c r="S28" s="64">
        <f t="shared" si="8"/>
        <v>0</v>
      </c>
      <c r="T28" s="64">
        <f t="shared" si="8"/>
        <v>0</v>
      </c>
      <c r="U28" s="64">
        <f t="shared" si="8"/>
        <v>0</v>
      </c>
      <c r="V28" s="64">
        <f t="shared" si="8"/>
        <v>0</v>
      </c>
      <c r="W28" s="64">
        <f t="shared" si="8"/>
        <v>0</v>
      </c>
      <c r="X28" s="64">
        <f t="shared" si="8"/>
        <v>0</v>
      </c>
      <c r="Y28" s="64">
        <f t="shared" si="8"/>
        <v>0</v>
      </c>
      <c r="Z28" s="64">
        <f t="shared" si="8"/>
        <v>0</v>
      </c>
      <c r="AA28" s="64">
        <f t="shared" si="8"/>
        <v>0</v>
      </c>
      <c r="AB28" s="64">
        <f t="shared" si="8"/>
        <v>0</v>
      </c>
    </row>
    <row r="29" spans="1:28">
      <c r="A29" s="58" t="s">
        <v>17</v>
      </c>
      <c r="B29" s="59">
        <v>16</v>
      </c>
      <c r="C29" s="60">
        <v>22.564102564102566</v>
      </c>
      <c r="D29" s="61"/>
      <c r="E29" s="62">
        <f>IF(E18=0,1,0)</f>
        <v>1</v>
      </c>
      <c r="F29" s="63">
        <v>-0.9</v>
      </c>
      <c r="G29" s="64">
        <f t="shared" ref="G29" si="9">G18</f>
        <v>0</v>
      </c>
      <c r="H29" s="64">
        <f t="shared" ref="H29:AB29" si="10">H18</f>
        <v>0</v>
      </c>
      <c r="I29" s="64">
        <f t="shared" si="10"/>
        <v>0</v>
      </c>
      <c r="J29" s="64">
        <f t="shared" si="10"/>
        <v>0</v>
      </c>
      <c r="K29" s="64">
        <f t="shared" si="10"/>
        <v>0</v>
      </c>
      <c r="L29" s="64">
        <f t="shared" si="10"/>
        <v>0</v>
      </c>
      <c r="M29" s="64">
        <f t="shared" si="10"/>
        <v>0</v>
      </c>
      <c r="N29" s="64">
        <f t="shared" si="10"/>
        <v>0</v>
      </c>
      <c r="O29" s="64">
        <f t="shared" si="10"/>
        <v>0</v>
      </c>
      <c r="P29" s="64">
        <f t="shared" si="10"/>
        <v>0</v>
      </c>
      <c r="Q29" s="64">
        <f t="shared" si="10"/>
        <v>0</v>
      </c>
      <c r="R29" s="64">
        <f t="shared" si="10"/>
        <v>0</v>
      </c>
      <c r="S29" s="64">
        <f t="shared" si="10"/>
        <v>0</v>
      </c>
      <c r="T29" s="64">
        <f t="shared" si="10"/>
        <v>0</v>
      </c>
      <c r="U29" s="64">
        <f t="shared" si="10"/>
        <v>0</v>
      </c>
      <c r="V29" s="64">
        <f t="shared" si="10"/>
        <v>0</v>
      </c>
      <c r="W29" s="64">
        <f t="shared" si="10"/>
        <v>0</v>
      </c>
      <c r="X29" s="64">
        <f t="shared" si="10"/>
        <v>0</v>
      </c>
      <c r="Y29" s="64">
        <f t="shared" si="10"/>
        <v>0</v>
      </c>
      <c r="Z29" s="64">
        <f t="shared" si="10"/>
        <v>0</v>
      </c>
      <c r="AA29" s="64">
        <f t="shared" si="10"/>
        <v>0</v>
      </c>
      <c r="AB29" s="64">
        <f t="shared" si="10"/>
        <v>0</v>
      </c>
    </row>
    <row r="30" spans="1:28">
      <c r="A30" s="58" t="s">
        <v>21</v>
      </c>
      <c r="B30" s="59">
        <v>21</v>
      </c>
      <c r="C30" s="60">
        <v>37.948717948717949</v>
      </c>
      <c r="D30" s="61"/>
      <c r="E30" s="62">
        <f>IF(E22=0,1,0)</f>
        <v>0</v>
      </c>
      <c r="F30" s="63">
        <v>1.2</v>
      </c>
      <c r="G30" s="64">
        <f t="shared" ref="G30" si="11">G22</f>
        <v>0</v>
      </c>
      <c r="H30" s="64">
        <f t="shared" ref="H30:AB30" si="12">H22</f>
        <v>0</v>
      </c>
      <c r="I30" s="64">
        <f t="shared" si="12"/>
        <v>0</v>
      </c>
      <c r="J30" s="64">
        <f t="shared" si="12"/>
        <v>0</v>
      </c>
      <c r="K30" s="64">
        <f t="shared" si="12"/>
        <v>0</v>
      </c>
      <c r="L30" s="64">
        <f t="shared" si="12"/>
        <v>0</v>
      </c>
      <c r="M30" s="64">
        <f t="shared" si="12"/>
        <v>0</v>
      </c>
      <c r="N30" s="64">
        <f t="shared" si="12"/>
        <v>0</v>
      </c>
      <c r="O30" s="64">
        <f t="shared" si="12"/>
        <v>0</v>
      </c>
      <c r="P30" s="64">
        <f t="shared" si="12"/>
        <v>0</v>
      </c>
      <c r="Q30" s="64">
        <f t="shared" si="12"/>
        <v>0</v>
      </c>
      <c r="R30" s="64">
        <f t="shared" si="12"/>
        <v>0</v>
      </c>
      <c r="S30" s="64">
        <f t="shared" si="12"/>
        <v>0</v>
      </c>
      <c r="T30" s="64">
        <f t="shared" si="12"/>
        <v>0</v>
      </c>
      <c r="U30" s="64">
        <f t="shared" si="12"/>
        <v>0</v>
      </c>
      <c r="V30" s="64">
        <f t="shared" si="12"/>
        <v>0</v>
      </c>
      <c r="W30" s="64">
        <f t="shared" si="12"/>
        <v>0</v>
      </c>
      <c r="X30" s="64">
        <f t="shared" si="12"/>
        <v>0</v>
      </c>
      <c r="Y30" s="64">
        <f t="shared" si="12"/>
        <v>0</v>
      </c>
      <c r="Z30" s="64">
        <f t="shared" si="12"/>
        <v>0</v>
      </c>
      <c r="AA30" s="64">
        <f t="shared" si="12"/>
        <v>0</v>
      </c>
      <c r="AB30" s="64">
        <f t="shared" si="12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41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41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41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42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41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41</v>
      </c>
    </row>
    <row r="49" spans="1:5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</row>
    <row r="50" spans="1:5">
      <c r="A50" s="19">
        <v>0</v>
      </c>
      <c r="B50" s="19">
        <v>100</v>
      </c>
      <c r="C50" s="19">
        <v>100</v>
      </c>
      <c r="D50">
        <v>85</v>
      </c>
      <c r="E50" t="s">
        <v>40</v>
      </c>
    </row>
    <row r="51" spans="1:5">
      <c r="A51" s="19">
        <v>0</v>
      </c>
      <c r="B51" s="19">
        <v>100</v>
      </c>
      <c r="C51" s="19">
        <v>100</v>
      </c>
      <c r="D51">
        <v>-90</v>
      </c>
      <c r="E51" t="s">
        <v>41</v>
      </c>
    </row>
    <row r="52" spans="1:5">
      <c r="A52" s="19">
        <v>44.9</v>
      </c>
      <c r="B52" s="19">
        <v>3.5</v>
      </c>
      <c r="C52" s="19">
        <v>3.5</v>
      </c>
      <c r="D52">
        <v>-9.1000000000000014</v>
      </c>
    </row>
    <row r="53" spans="1:5">
      <c r="A53" s="19">
        <v>-44.5</v>
      </c>
      <c r="B53" s="19">
        <v>-3.5</v>
      </c>
      <c r="C53" s="19">
        <v>-3.5</v>
      </c>
      <c r="D53">
        <v>-6.5</v>
      </c>
    </row>
    <row r="54" spans="1:5">
      <c r="A54" s="19">
        <v>45.7</v>
      </c>
      <c r="B54" s="19">
        <v>5.5</v>
      </c>
      <c r="C54" s="19">
        <v>5.8</v>
      </c>
      <c r="D54">
        <v>-6.2999999999999972</v>
      </c>
    </row>
    <row r="55" spans="1:5">
      <c r="A55" s="19">
        <v>-42.4</v>
      </c>
      <c r="B55" s="19">
        <v>-5</v>
      </c>
      <c r="C55" s="19">
        <v>-5</v>
      </c>
      <c r="D55">
        <v>-6.3999999999999986</v>
      </c>
    </row>
    <row r="56" spans="1:5">
      <c r="A56" s="19">
        <v>15.6</v>
      </c>
      <c r="B56" s="19">
        <v>1</v>
      </c>
      <c r="C56" s="19">
        <v>1</v>
      </c>
      <c r="D56">
        <v>15.6</v>
      </c>
    </row>
    <row r="57" spans="1:5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0"/>
  <sheetViews>
    <sheetView workbookViewId="0">
      <selection activeCell="I4" sqref="I4"/>
    </sheetView>
  </sheetViews>
  <sheetFormatPr defaultRowHeight="13"/>
  <sheetData>
    <row r="1" spans="1:6">
      <c r="A1" t="s">
        <v>23</v>
      </c>
      <c r="B1" s="1">
        <v>5</v>
      </c>
      <c r="D1" s="2" t="s">
        <v>29</v>
      </c>
      <c r="F1" s="3" t="s">
        <v>30</v>
      </c>
    </row>
    <row r="2" spans="1:6">
      <c r="A2" t="s">
        <v>24</v>
      </c>
      <c r="B2" s="1">
        <v>115200</v>
      </c>
      <c r="D2" s="4">
        <v>10</v>
      </c>
      <c r="E2" s="6"/>
      <c r="F2" s="7"/>
    </row>
    <row r="3" spans="1:6">
      <c r="A3" t="s">
        <v>25</v>
      </c>
      <c r="B3" s="1" t="s">
        <v>28</v>
      </c>
      <c r="E3" s="6"/>
      <c r="F3" s="6"/>
    </row>
    <row r="4" spans="1:6">
      <c r="A4" t="s">
        <v>26</v>
      </c>
      <c r="B4" s="1">
        <v>8</v>
      </c>
      <c r="D4" s="5" t="s">
        <v>31</v>
      </c>
      <c r="E4" s="6"/>
      <c r="F4" s="6"/>
    </row>
    <row r="5" spans="1:6">
      <c r="A5" t="s">
        <v>27</v>
      </c>
      <c r="B5" s="1">
        <v>1</v>
      </c>
      <c r="D5" s="4">
        <v>1</v>
      </c>
      <c r="E5" s="6"/>
      <c r="F5" s="6"/>
    </row>
    <row r="6" spans="1:6">
      <c r="E6" s="6"/>
      <c r="F6" s="6"/>
    </row>
    <row r="7" spans="1:6">
      <c r="E7" s="6"/>
      <c r="F7" s="6"/>
    </row>
    <row r="8" spans="1:6">
      <c r="E8" s="6"/>
      <c r="F8" s="6"/>
    </row>
    <row r="9" spans="1:6">
      <c r="E9" s="6"/>
      <c r="F9" s="6"/>
    </row>
    <row r="10" spans="1:6">
      <c r="E10" s="6"/>
      <c r="F10" s="6"/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2:D7"/>
  <sheetViews>
    <sheetView tabSelected="1" workbookViewId="0">
      <selection activeCell="L41" sqref="L41"/>
    </sheetView>
  </sheetViews>
  <sheetFormatPr defaultRowHeight="13"/>
  <sheetData>
    <row r="2" spans="4:4">
      <c r="D2" s="75" t="s">
        <v>84</v>
      </c>
    </row>
    <row r="3" spans="4:4">
      <c r="D3" s="75" t="s">
        <v>85</v>
      </c>
    </row>
    <row r="4" spans="4:4">
      <c r="D4" s="75" t="s">
        <v>86</v>
      </c>
    </row>
    <row r="5" spans="4:4">
      <c r="D5" s="75" t="s">
        <v>87</v>
      </c>
    </row>
    <row r="6" spans="4:4">
      <c r="D6" s="75" t="s">
        <v>88</v>
      </c>
    </row>
    <row r="7" spans="4:4">
      <c r="D7" s="75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Atk_R_low</vt:lpstr>
      <vt:lpstr>Atk_R_high</vt:lpstr>
      <vt:lpstr>Atk_B</vt:lpstr>
      <vt:lpstr>Atk_F</vt:lpstr>
      <vt:lpstr>Atk_L_low</vt:lpstr>
      <vt:lpstr>Atk_L_high</vt:lpstr>
      <vt:lpstr>WakeB</vt:lpstr>
      <vt:lpstr>WakeF</vt:lpstr>
      <vt:lpstr>Back</vt:lpstr>
      <vt:lpstr>Walk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gisen</cp:lastModifiedBy>
  <dcterms:created xsi:type="dcterms:W3CDTF">2015-05-03T10:14:58Z</dcterms:created>
  <dcterms:modified xsi:type="dcterms:W3CDTF">2024-04-30T09:06:44Z</dcterms:modified>
</cp:coreProperties>
</file>